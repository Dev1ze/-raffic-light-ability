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E:\Artem\Аспирантура\Пропусканя способность светофора\"/>
    </mc:Choice>
  </mc:AlternateContent>
  <xr:revisionPtr revIDLastSave="0" documentId="13_ncr:1_{8BF40A0B-9A44-4D0C-9D99-37C98008B40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1" i="1" l="1"/>
  <c r="P19" i="1"/>
  <c r="C32" i="1"/>
  <c r="D32" i="1"/>
  <c r="E32" i="1"/>
  <c r="F32" i="1"/>
  <c r="G32" i="1"/>
  <c r="H32" i="1"/>
  <c r="B32" i="1"/>
  <c r="A32" i="1"/>
  <c r="C34" i="1"/>
  <c r="K16" i="1"/>
  <c r="K14" i="1"/>
  <c r="A36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S40" i="1"/>
  <c r="S41" i="1" s="1"/>
  <c r="S38" i="1"/>
  <c r="S39" i="1" s="1"/>
  <c r="AA34" i="1"/>
  <c r="AA36" i="1"/>
  <c r="Z34" i="1"/>
  <c r="Z36" i="1"/>
  <c r="Y34" i="1"/>
  <c r="V36" i="1"/>
  <c r="W36" i="1"/>
  <c r="X36" i="1"/>
  <c r="Y36" i="1"/>
  <c r="U36" i="1"/>
  <c r="U34" i="1"/>
  <c r="V34" i="1"/>
  <c r="W34" i="1"/>
  <c r="X34" i="1"/>
  <c r="S36" i="1"/>
  <c r="R36" i="1"/>
  <c r="I34" i="1"/>
  <c r="T34" i="1"/>
  <c r="E34" i="1"/>
  <c r="F34" i="1"/>
  <c r="K34" i="1"/>
  <c r="A34" i="1"/>
  <c r="J34" i="1"/>
  <c r="B34" i="1"/>
  <c r="D34" i="1"/>
  <c r="L34" i="1"/>
  <c r="M34" i="1"/>
  <c r="N34" i="1"/>
  <c r="O34" i="1"/>
  <c r="P34" i="1"/>
  <c r="Q34" i="1"/>
  <c r="R34" i="1"/>
  <c r="S34" i="1"/>
  <c r="G34" i="1"/>
  <c r="H34" i="1"/>
  <c r="L5" i="1"/>
  <c r="K9" i="1" l="1"/>
  <c r="K11" i="1" s="1"/>
  <c r="L54" i="1" l="1"/>
  <c r="X33" i="1" s="1"/>
  <c r="K33" i="1" l="1"/>
  <c r="P33" i="1"/>
  <c r="T33" i="1"/>
  <c r="L33" i="1"/>
  <c r="O33" i="1"/>
  <c r="A33" i="1"/>
  <c r="M33" i="1"/>
  <c r="N33" i="1"/>
  <c r="B33" i="1"/>
  <c r="Q33" i="1"/>
  <c r="I33" i="1"/>
  <c r="C33" i="1"/>
  <c r="D33" i="1"/>
  <c r="E33" i="1"/>
  <c r="F33" i="1"/>
  <c r="R33" i="1"/>
  <c r="G33" i="1"/>
  <c r="H33" i="1"/>
  <c r="J33" i="1"/>
  <c r="K19" i="1"/>
  <c r="K28" i="1" s="1"/>
  <c r="S45" i="1"/>
  <c r="V33" i="1"/>
  <c r="U33" i="1"/>
  <c r="AA33" i="1"/>
  <c r="S33" i="1"/>
  <c r="Y33" i="1"/>
  <c r="W33" i="1"/>
  <c r="Z33" i="1"/>
  <c r="K22" i="1" l="1"/>
  <c r="K25" i="1" s="1"/>
  <c r="U1" i="1" l="1"/>
  <c r="U6" i="1" s="1"/>
  <c r="U8" i="1" s="1"/>
  <c r="U14" i="1" s="1"/>
  <c r="U10" i="1" l="1"/>
  <c r="U12" i="1"/>
  <c r="V12" i="1" s="1"/>
  <c r="W12" i="1" s="1"/>
</calcChain>
</file>

<file path=xl/sharedStrings.xml><?xml version="1.0" encoding="utf-8"?>
<sst xmlns="http://schemas.openxmlformats.org/spreadsheetml/2006/main" count="52" uniqueCount="48">
  <si>
    <t>Светофор горит (сек.)</t>
  </si>
  <si>
    <t>Ускорение (м/c)</t>
  </si>
  <si>
    <t>D</t>
  </si>
  <si>
    <t>K</t>
  </si>
  <si>
    <t>t</t>
  </si>
  <si>
    <t>L</t>
  </si>
  <si>
    <t>1-е слагаемое - время через которое поедет К-ая машина, 2-е слагаемое - поиск времени зная растояние(которое проедем после разгона) и постоянную скорость, 3-е слагаемое - поиск времени зная растояние которон будем разгонятся до макс и ускорение</t>
  </si>
  <si>
    <t>Домножаем все слагаемые на V, что бы избавиться от дроби</t>
  </si>
  <si>
    <t>Выносим К</t>
  </si>
  <si>
    <t>Обьединяем две К и выносим правую К с множителем L в левую сторону</t>
  </si>
  <si>
    <t>Делим обе стороны на V+L чтобы избавиться от них в левой стороне</t>
  </si>
  <si>
    <t>D2</t>
  </si>
  <si>
    <t>K2</t>
  </si>
  <si>
    <t>1-е слагаемое - время через которое поедет К-ая машина, 2-е слагаемое - поиск времени зная растояние (K*L) которон будем разгонятся до макс и ускорение</t>
  </si>
  <si>
    <t>Изолируем член с корнем</t>
  </si>
  <si>
    <t>Теперь возведите обе стороны уравнения в квадрат, чтобы избавиться от корня</t>
  </si>
  <si>
    <t>Упрощаю выражение, выношу коэфициент K</t>
  </si>
  <si>
    <t>Раскрываю квадрат</t>
  </si>
  <si>
    <t>Переносим все члены на одну сторону. И получилось квадратное уравнение, которое можно решить, используя квадратный корень или факторизацию</t>
  </si>
  <si>
    <t>Дискриминант D = b^2 - 4ac</t>
  </si>
  <si>
    <t>Теперь используем формулу для нахождения корней. K1 = (-b + √D) / (2a), K2 = (-b - √D) / (2a). Зная правильный ответ выбираем правильный корень K1</t>
  </si>
  <si>
    <t>Уравнение при ускорении</t>
  </si>
  <si>
    <t>Средняя длина машины (м.)</t>
  </si>
  <si>
    <t>Макс. скорость (м/с)</t>
  </si>
  <si>
    <t>Время разгона до макс. скорости (сек.)</t>
  </si>
  <si>
    <t>Растояние которое проедет машина ускоряясь до макс. скорости (м.)</t>
  </si>
  <si>
    <t>a</t>
  </si>
  <si>
    <t>Поиск колличества проехавших машин в рамках                 . При k меньше или равный 1</t>
  </si>
  <si>
    <t>Дискриминант</t>
  </si>
  <si>
    <t>Коэффициент для выбора формулы поиска количества автомобилей</t>
  </si>
  <si>
    <t>Время через которе первая машина розгониться до макс скорости (сек.)</t>
  </si>
  <si>
    <t>Номер первой машины которая рагониться до макс скорости</t>
  </si>
  <si>
    <t>Поиск колличества проехавших машин в за рамками                 . При k больше  1</t>
  </si>
  <si>
    <t>Светофор не горит (сек.)</t>
  </si>
  <si>
    <t>Интенсивность обслуживания в час (Мю)</t>
  </si>
  <si>
    <t>Интенсивность поступления заявок в сисетему в час (Лямбда)</t>
  </si>
  <si>
    <t>λ</t>
  </si>
  <si>
    <t>Мощность потока (Ро) от интенсивности обслуживаиня</t>
  </si>
  <si>
    <t>Вероятность того что канал обслуживания свободен</t>
  </si>
  <si>
    <t xml:space="preserve">Среднее число заявок находящихся в системе </t>
  </si>
  <si>
    <t xml:space="preserve">Среднее число заявок находящихся в очереди </t>
  </si>
  <si>
    <t>Среднее время прибывания заявки в системе (час.) - (мин.) - (сек.)</t>
  </si>
  <si>
    <t>Уравнение при постоянной скорости и ускорением</t>
  </si>
  <si>
    <t>Время реакции</t>
  </si>
  <si>
    <t>Для проверки k &lt; 1</t>
  </si>
  <si>
    <t>Для проверки k &gt; 1</t>
  </si>
  <si>
    <t>Кол-во</t>
  </si>
  <si>
    <t>Время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</si>
</sst>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i/>
      <sz val="9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i/>
      <sz val="14"/>
      <color theme="1"/>
      <name val="Calibri"/>
      <family val="2"/>
      <charset val="204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1" xfId="0" applyBorder="1"/>
    <xf numFmtId="0" fontId="0" fillId="3" borderId="0" xfId="0" applyFill="1"/>
    <xf numFmtId="0" fontId="0" fillId="0" borderId="1" xfId="0" applyBorder="1" applyAlignment="1">
      <alignment horizontal="center"/>
    </xf>
    <xf numFmtId="0" fontId="5" fillId="0" borderId="0" xfId="0" applyFont="1" applyAlignment="1">
      <alignment vertical="center" textRotation="90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left" wrapText="1"/>
    </xf>
    <xf numFmtId="0" fontId="1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textRotation="90"/>
    </xf>
    <xf numFmtId="0" fontId="0" fillId="2" borderId="13" xfId="0" applyFill="1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2" borderId="2" xfId="0" applyFill="1" applyBorder="1" applyAlignment="1">
      <alignment horizontal="left" vertical="center" wrapText="1"/>
    </xf>
    <xf numFmtId="0" fontId="0" fillId="2" borderId="5" xfId="0" applyFill="1" applyBorder="1" applyAlignment="1">
      <alignment horizontal="left" vertical="center" wrapText="1"/>
    </xf>
    <xf numFmtId="0" fontId="0" fillId="2" borderId="12" xfId="0" applyFill="1" applyBorder="1" applyAlignment="1">
      <alignment horizontal="left" vertical="center" wrapText="1"/>
    </xf>
    <xf numFmtId="0" fontId="0" fillId="2" borderId="9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2" borderId="14" xfId="0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wrapText="1"/>
    </xf>
    <xf numFmtId="0" fontId="0" fillId="2" borderId="4" xfId="0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 wrapText="1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2" borderId="15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251707</xdr:colOff>
      <xdr:row>8</xdr:row>
      <xdr:rowOff>46008</xdr:rowOff>
    </xdr:from>
    <xdr:ext cx="1343060" cy="3223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89B49324-0E27-BB55-4B35-26C5181DD1A4}"/>
                </a:ext>
              </a:extLst>
            </xdr:cNvPr>
            <xdr:cNvSpPr txBox="1"/>
          </xdr:nvSpPr>
          <xdr:spPr>
            <a:xfrm>
              <a:off x="3498490" y="1238704"/>
              <a:ext cx="1343060" cy="3223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разгона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(</m:t>
                            </m:r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𝑉</m:t>
                                </m:r>
                              </m:e>
                              <m:sub>
                                <m:r>
                                  <a:rPr lang="ru-RU" sz="1100" b="0" i="1">
                                    <a:latin typeface="Cambria Math" panose="02040503050406030204" pitchFamily="18" charset="0"/>
                                  </a:rPr>
                                  <m:t>макс</m:t>
                                </m:r>
                              </m:sub>
                            </m:s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𝑉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)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</m:den>
                    </m:f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89B49324-0E27-BB55-4B35-26C5181DD1A4}"/>
                </a:ext>
              </a:extLst>
            </xdr:cNvPr>
            <xdr:cNvSpPr txBox="1"/>
          </xdr:nvSpPr>
          <xdr:spPr>
            <a:xfrm>
              <a:off x="3498490" y="1238704"/>
              <a:ext cx="1343060" cy="3223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𝑡_</a:t>
              </a:r>
              <a:r>
                <a:rPr lang="ru-RU" sz="1100" b="0" i="0">
                  <a:latin typeface="Cambria Math" panose="02040503050406030204" pitchFamily="18" charset="0"/>
                </a:rPr>
                <a:t>разгона</a:t>
              </a:r>
              <a:r>
                <a:rPr lang="en-US" sz="1100" b="0" i="0">
                  <a:latin typeface="Cambria Math" panose="02040503050406030204" pitchFamily="18" charset="0"/>
                </a:rPr>
                <a:t>=(〖(𝑉_</a:t>
              </a:r>
              <a:r>
                <a:rPr lang="ru-RU" sz="1100" b="0" i="0">
                  <a:latin typeface="Cambria Math" panose="02040503050406030204" pitchFamily="18" charset="0"/>
                </a:rPr>
                <a:t>макс</a:t>
              </a:r>
              <a:r>
                <a:rPr lang="en-US" sz="1100" b="0" i="0">
                  <a:latin typeface="Cambria Math" panose="02040503050406030204" pitchFamily="18" charset="0"/>
                </a:rPr>
                <a:t>−𝑉〗_0))/𝑎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9</xdr:col>
      <xdr:colOff>88656</xdr:colOff>
      <xdr:row>54</xdr:row>
      <xdr:rowOff>158261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F23506F-B84C-0A5C-05B6-1843543191DF}"/>
            </a:ext>
          </a:extLst>
        </xdr:cNvPr>
        <xdr:cNvSpPr txBox="1"/>
      </xdr:nvSpPr>
      <xdr:spPr>
        <a:xfrm>
          <a:off x="6360502" y="500135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57172</xdr:colOff>
      <xdr:row>53</xdr:row>
      <xdr:rowOff>20764</xdr:rowOff>
    </xdr:from>
    <xdr:ext cx="1249509" cy="3386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CE2937AA-83D5-9E63-DBBE-A8CD5615505A}"/>
                </a:ext>
              </a:extLst>
            </xdr:cNvPr>
            <xdr:cNvSpPr txBox="1"/>
          </xdr:nvSpPr>
          <xdr:spPr>
            <a:xfrm>
              <a:off x="5755607" y="9040525"/>
              <a:ext cx="1249509" cy="3386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до макс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𝑡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+ 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CE2937AA-83D5-9E63-DBBE-A8CD5615505A}"/>
                </a:ext>
              </a:extLst>
            </xdr:cNvPr>
            <xdr:cNvSpPr txBox="1"/>
          </xdr:nvSpPr>
          <xdr:spPr>
            <a:xfrm>
              <a:off x="5755607" y="9040525"/>
              <a:ext cx="1249509" cy="3386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𝑆_(</a:t>
              </a:r>
              <a:r>
                <a:rPr lang="ru-RU" sz="1100" b="0" i="0">
                  <a:latin typeface="Cambria Math" panose="02040503050406030204" pitchFamily="18" charset="0"/>
                </a:rPr>
                <a:t>до макс</a:t>
              </a:r>
              <a:r>
                <a:rPr lang="en-US" sz="1100" b="0" i="0">
                  <a:latin typeface="Cambria Math" panose="02040503050406030204" pitchFamily="18" charset="0"/>
                </a:rPr>
                <a:t>)=𝑉_0 𝑡+  (𝑎𝑡^2)/2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4</xdr:col>
      <xdr:colOff>417317</xdr:colOff>
      <xdr:row>57</xdr:row>
      <xdr:rowOff>24464</xdr:rowOff>
    </xdr:from>
    <xdr:ext cx="2314415" cy="5001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689234BA-A339-6FE3-37A7-BE8CC6166F83}"/>
                </a:ext>
              </a:extLst>
            </xdr:cNvPr>
            <xdr:cNvSpPr txBox="1"/>
          </xdr:nvSpPr>
          <xdr:spPr>
            <a:xfrm>
              <a:off x="3051187" y="10990638"/>
              <a:ext cx="2314415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 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𝐾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ru-RU" sz="1100" b="0" i="1">
                        <a:latin typeface="Cambria Math" panose="02040503050406030204" pitchFamily="18" charset="0"/>
                      </a:rPr>
                      <m:t>∗</m:t>
                    </m:r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реак</m:t>
                        </m:r>
                      </m:sub>
                    </m:sSub>
                    <m:r>
                      <a:rPr lang="ru-RU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+</m:t>
                    </m:r>
                    <m:rad>
                      <m:radPr>
                        <m:degHide m:val="on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2∗(</m:t>
                            </m:r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𝐾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∗</m:t>
                            </m:r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𝐿</m:t>
                                </m:r>
                              </m:e>
                              <m:sub>
                                <m:r>
                                  <a:rPr lang="ru-RU" sz="1100" b="0" i="1">
                                    <a:latin typeface="Cambria Math" panose="02040503050406030204" pitchFamily="18" charset="0"/>
                                  </a:rPr>
                                  <m:t>машины</m:t>
                                </m:r>
                              </m:sub>
                            </m:s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)</m:t>
                            </m:r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den>
                        </m:f>
                      </m:e>
                    </m:rad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689234BA-A339-6FE3-37A7-BE8CC6166F83}"/>
                </a:ext>
              </a:extLst>
            </xdr:cNvPr>
            <xdr:cNvSpPr txBox="1"/>
          </xdr:nvSpPr>
          <xdr:spPr>
            <a:xfrm>
              <a:off x="3051187" y="10990638"/>
              <a:ext cx="2314415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𝑡</a:t>
              </a:r>
              <a:r>
                <a:rPr lang="ru-RU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𝑖= 〖</a:t>
              </a:r>
              <a:r>
                <a:rPr lang="ru-RU" sz="1100" b="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𝐾〗_𝑖</a:t>
              </a:r>
              <a:r>
                <a:rPr lang="ru-RU" sz="1100" b="0" i="0">
                  <a:latin typeface="Cambria Math" panose="02040503050406030204" pitchFamily="18" charset="0"/>
                </a:rPr>
                <a:t>∗</a:t>
              </a:r>
              <a:r>
                <a:rPr lang="en-US" sz="1100" b="0" i="0">
                  <a:latin typeface="Cambria Math" panose="02040503050406030204" pitchFamily="18" charset="0"/>
                </a:rPr>
                <a:t>𝑡</a:t>
              </a:r>
              <a:r>
                <a:rPr lang="ru-RU" sz="1100" b="0" i="0">
                  <a:latin typeface="Cambria Math" panose="02040503050406030204" pitchFamily="18" charset="0"/>
                </a:rPr>
                <a:t>_реак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100" b="0" i="0">
                  <a:latin typeface="Cambria Math" panose="02040503050406030204" pitchFamily="18" charset="0"/>
                </a:rPr>
                <a:t>+√((2∗(𝐾_𝑖∗𝐿_</a:t>
              </a:r>
              <a:r>
                <a:rPr lang="ru-RU" sz="1100" b="0" i="0">
                  <a:latin typeface="Cambria Math" panose="02040503050406030204" pitchFamily="18" charset="0"/>
                </a:rPr>
                <a:t>машины</a:t>
              </a:r>
              <a:r>
                <a:rPr lang="en-US" sz="1100" b="0" i="0">
                  <a:latin typeface="Cambria Math" panose="02040503050406030204" pitchFamily="18" charset="0"/>
                </a:rPr>
                <a:t>))/𝑎)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5</xdr:col>
      <xdr:colOff>67991</xdr:colOff>
      <xdr:row>37</xdr:row>
      <xdr:rowOff>33337</xdr:rowOff>
    </xdr:from>
    <xdr:ext cx="3566041" cy="5001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850D0A1-0283-7B0C-0FAF-64465D1C4F01}"/>
                </a:ext>
              </a:extLst>
            </xdr:cNvPr>
            <xdr:cNvSpPr txBox="1"/>
          </xdr:nvSpPr>
          <xdr:spPr>
            <a:xfrm>
              <a:off x="3314774" y="7189511"/>
              <a:ext cx="3566041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𝐾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ru-RU" sz="1100" b="0" i="1">
                        <a:latin typeface="Cambria Math" panose="02040503050406030204" pitchFamily="18" charset="0"/>
                      </a:rPr>
                      <m:t>∗</m:t>
                    </m:r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реак</m:t>
                        </m:r>
                      </m:sub>
                    </m:sSub>
                    <m:r>
                      <a:rPr lang="ru-RU" sz="1100" b="0" i="1">
                        <a:latin typeface="Cambria Math" panose="02040503050406030204" pitchFamily="18" charset="0"/>
                      </a:rPr>
                      <m:t>)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+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(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𝐾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∗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  <m:sub>
                            <m:r>
                              <a:rPr lang="ru-RU" sz="1100" b="0" i="1">
                                <a:latin typeface="Cambria Math" panose="02040503050406030204" pitchFamily="18" charset="0"/>
                              </a:rPr>
                              <m:t>машины</m:t>
                            </m:r>
                          </m:sub>
                        </m:s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)−</m:t>
                        </m:r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ru-RU" sz="1100" b="0" i="1">
                                <a:latin typeface="Cambria Math" panose="02040503050406030204" pitchFamily="18" charset="0"/>
                              </a:rPr>
                              <m:t>до макс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𝑉</m:t>
                            </m:r>
                          </m:e>
                          <m:sub>
                            <m:r>
                              <a:rPr lang="ru-RU" sz="1100" b="0" i="1">
                                <a:latin typeface="Cambria Math" panose="02040503050406030204" pitchFamily="18" charset="0"/>
                              </a:rPr>
                              <m:t>макс</m:t>
                            </m:r>
                          </m:sub>
                        </m:sSub>
                      </m:den>
                    </m:f>
                    <m:r>
                      <a:rPr lang="ru-RU" sz="1100" b="0" i="1">
                        <a:latin typeface="Cambria Math" panose="02040503050406030204" pitchFamily="18" charset="0"/>
                      </a:rPr>
                      <m:t>+</m:t>
                    </m:r>
                    <m:rad>
                      <m:radPr>
                        <m:degHide m:val="on"/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2∗(</m:t>
                            </m:r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𝑆</m:t>
                                </m:r>
                              </m:e>
                              <m:sub>
                                <m:r>
                                  <a:rPr lang="ru-RU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до макс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)</m:t>
                            </m:r>
                          </m:num>
                          <m:den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𝑎</m:t>
                            </m:r>
                          </m:den>
                        </m:f>
                      </m:e>
                    </m:rad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850D0A1-0283-7B0C-0FAF-64465D1C4F01}"/>
                </a:ext>
              </a:extLst>
            </xdr:cNvPr>
            <xdr:cNvSpPr txBox="1"/>
          </xdr:nvSpPr>
          <xdr:spPr>
            <a:xfrm>
              <a:off x="3314774" y="7189511"/>
              <a:ext cx="3566041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𝑡</a:t>
              </a:r>
              <a:r>
                <a:rPr lang="ru-RU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𝑖=〖</a:t>
              </a:r>
              <a:r>
                <a:rPr lang="ru-RU" sz="1100" b="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𝐾〗_𝑖</a:t>
              </a:r>
              <a:r>
                <a:rPr lang="ru-RU" sz="1100" b="0" i="0">
                  <a:latin typeface="Cambria Math" panose="02040503050406030204" pitchFamily="18" charset="0"/>
                </a:rPr>
                <a:t>∗</a:t>
              </a:r>
              <a:r>
                <a:rPr lang="en-US" sz="1100" b="0" i="0">
                  <a:latin typeface="Cambria Math" panose="02040503050406030204" pitchFamily="18" charset="0"/>
                </a:rPr>
                <a:t>𝑡</a:t>
              </a:r>
              <a:r>
                <a:rPr lang="ru-RU" sz="1100" b="0" i="0">
                  <a:latin typeface="Cambria Math" panose="02040503050406030204" pitchFamily="18" charset="0"/>
                </a:rPr>
                <a:t>_реак)</a:t>
              </a:r>
              <a:r>
                <a:rPr lang="en-US" sz="1100" b="0" i="0">
                  <a:latin typeface="Cambria Math" panose="02040503050406030204" pitchFamily="18" charset="0"/>
                </a:rPr>
                <a:t>+(〖(𝐾∗𝐿〗_</a:t>
              </a:r>
              <a:r>
                <a:rPr lang="ru-RU" sz="1100" b="0" i="0">
                  <a:latin typeface="Cambria Math" panose="02040503050406030204" pitchFamily="18" charset="0"/>
                </a:rPr>
                <a:t>машины</a:t>
              </a:r>
              <a:r>
                <a:rPr lang="en-US" sz="1100" b="0" i="0">
                  <a:latin typeface="Cambria Math" panose="02040503050406030204" pitchFamily="18" charset="0"/>
                </a:rPr>
                <a:t>)−𝑆_(</a:t>
              </a:r>
              <a:r>
                <a:rPr lang="ru-RU" sz="1100" b="0" i="0">
                  <a:latin typeface="Cambria Math" panose="02040503050406030204" pitchFamily="18" charset="0"/>
                </a:rPr>
                <a:t>до макс</a:t>
              </a:r>
              <a:r>
                <a:rPr lang="en-US" sz="1100" b="0" i="0">
                  <a:latin typeface="Cambria Math" panose="02040503050406030204" pitchFamily="18" charset="0"/>
                </a:rPr>
                <a:t>))/𝑉_</a:t>
              </a:r>
              <a:r>
                <a:rPr lang="ru-RU" sz="1100" b="0" i="0">
                  <a:latin typeface="Cambria Math" panose="02040503050406030204" pitchFamily="18" charset="0"/>
                </a:rPr>
                <a:t>макс 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√((2∗(𝑆_(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до макс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)))/𝑎)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5</xdr:col>
      <xdr:colOff>77516</xdr:colOff>
      <xdr:row>40</xdr:row>
      <xdr:rowOff>31694</xdr:rowOff>
    </xdr:from>
    <xdr:ext cx="3402663" cy="5001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98799CBF-81E9-23B6-1C55-0D4856D8A009}"/>
                </a:ext>
              </a:extLst>
            </xdr:cNvPr>
            <xdr:cNvSpPr txBox="1"/>
          </xdr:nvSpPr>
          <xdr:spPr>
            <a:xfrm>
              <a:off x="3324299" y="7759368"/>
              <a:ext cx="3402663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sSub>
                          <m:sSubPr>
                            <m:ctrlP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𝑡</m:t>
                            </m:r>
                          </m:e>
                          <m:sub>
                            <m:r>
                              <a:rPr lang="ru-RU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реак</m:t>
                            </m:r>
                          </m:sub>
                        </m:s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𝐾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𝑡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− </m:t>
                    </m:r>
                    <m:f>
                      <m:f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𝐾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∗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𝐿</m:t>
                            </m:r>
                          </m:e>
                          <m:sub>
                            <m:r>
                              <a:rPr lang="ru-RU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машины</m:t>
                            </m:r>
                          </m:sub>
                        </m:s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)−</m:t>
                        </m:r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𝑆</m:t>
                            </m:r>
                          </m:e>
                          <m:sub>
                            <m:r>
                              <a:rPr lang="ru-RU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до макс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𝑉</m:t>
                            </m:r>
                          </m:e>
                          <m:sub>
                            <m:r>
                              <a:rPr lang="ru-RU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макс</m:t>
                            </m:r>
                          </m:sub>
                        </m:sSub>
                      </m:den>
                    </m:f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rad>
                      <m:radPr>
                        <m:degHide m:val="on"/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2∗(</m:t>
                            </m:r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𝑆</m:t>
                                </m:r>
                              </m:e>
                              <m:sub>
                                <m:r>
                                  <a:rPr lang="ru-RU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до макс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)</m:t>
                            </m:r>
                          </m:num>
                          <m:den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𝑎</m:t>
                            </m:r>
                          </m:den>
                        </m:f>
                      </m:e>
                    </m:rad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98799CBF-81E9-23B6-1C55-0D4856D8A009}"/>
                </a:ext>
              </a:extLst>
            </xdr:cNvPr>
            <xdr:cNvSpPr txBox="1"/>
          </xdr:nvSpPr>
          <xdr:spPr>
            <a:xfrm>
              <a:off x="3324299" y="7759368"/>
              <a:ext cx="3402663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</a:rPr>
                <a:t>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𝑡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_реак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100" b="0" i="0">
                  <a:latin typeface="Cambria Math" panose="02040503050406030204" pitchFamily="18" charset="0"/>
                </a:rPr>
                <a:t>𝐾</a:t>
              </a:r>
              <a:r>
                <a:rPr lang="ru-RU" sz="1100" b="0" i="0">
                  <a:latin typeface="Cambria Math" panose="02040503050406030204" pitchFamily="18" charset="0"/>
                </a:rPr>
                <a:t>〗_</a:t>
              </a:r>
              <a:r>
                <a:rPr lang="en-US" sz="1100" b="0" i="0">
                  <a:latin typeface="Cambria Math" panose="02040503050406030204" pitchFamily="18" charset="0"/>
                </a:rPr>
                <a:t>𝑖=𝑡 −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(〖(𝐾∗𝐿〗_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машины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)−𝑆_(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до макс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))/𝑉_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макс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−√((2∗(𝑆_(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до макс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)))/𝑎) </a:t>
              </a:r>
              <a:r>
                <a:rPr lang="en-US" sz="1100" b="0" i="0">
                  <a:latin typeface="Cambria Math" panose="02040503050406030204" pitchFamily="18" charset="0"/>
                </a:rPr>
                <a:t> 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4</xdr:col>
      <xdr:colOff>42041</xdr:colOff>
      <xdr:row>43</xdr:row>
      <xdr:rowOff>111015</xdr:rowOff>
    </xdr:from>
    <xdr:ext cx="4401590" cy="344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C89C0C19-F822-A61F-8F00-05C2607B95B9}"/>
                </a:ext>
              </a:extLst>
            </xdr:cNvPr>
            <xdr:cNvSpPr txBox="1"/>
          </xdr:nvSpPr>
          <xdr:spPr>
            <a:xfrm>
              <a:off x="2675911" y="8410189"/>
              <a:ext cx="4401590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ru-RU" sz="11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sSub>
                        <m:sSubPr>
                          <m:ctrlPr>
                            <a:rPr lang="en-US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n-US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𝑉</m:t>
                          </m:r>
                        </m:e>
                        <m:sub>
                          <m:r>
                            <a:rPr lang="ru-RU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макс</m:t>
                          </m:r>
                        </m:sub>
                      </m:sSub>
                      <m:sSub>
                        <m:sSubPr>
                          <m:ctrlPr>
                            <a:rPr lang="ru-RU" sz="110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n-US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𝑡</m:t>
                          </m:r>
                        </m:e>
                        <m:sub>
                          <m:r>
                            <a:rPr lang="ru-RU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реак</m:t>
                          </m:r>
                        </m:sub>
                      </m:sSub>
                      <m:r>
                        <a:rPr lang="ru-RU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∗</m:t>
                      </m:r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𝐾</m:t>
                      </m:r>
                    </m:e>
                    <m:sub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𝑖</m:t>
                      </m:r>
                    </m:sub>
                  </m:sSub>
                  <m:r>
                    <a:rPr lang="en-US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sSub>
                    <m:sSubPr>
                      <m:ctrlP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(</m:t>
                      </m:r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𝑉</m:t>
                      </m:r>
                    </m:e>
                    <m:sub>
                      <m:r>
                        <a:rPr lang="ru-RU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макс</m:t>
                      </m:r>
                    </m:sub>
                  </m:sSub>
                  <m:r>
                    <a:rPr lang="en-US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r>
                    <a:rPr lang="en-US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𝑡</m:t>
                  </m:r>
                  <m:r>
                    <a:rPr lang="en-US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 − </m:t>
                  </m:r>
                  <m:sSub>
                    <m:sSubPr>
                      <m:ctrlP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𝐾</m:t>
                      </m:r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∗</m:t>
                      </m:r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𝐿</m:t>
                      </m:r>
                    </m:e>
                    <m:sub>
                      <m:r>
                        <a:rPr lang="ru-RU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машины</m:t>
                      </m:r>
                    </m:sub>
                  </m:sSub>
                  <m:r>
                    <a:rPr lang="en-US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−</m:t>
                  </m:r>
                  <m:sSub>
                    <m:sSubPr>
                      <m:ctrlP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𝑆</m:t>
                      </m:r>
                    </m:e>
                    <m:sub>
                      <m:r>
                        <a:rPr lang="ru-RU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до макс</m:t>
                      </m:r>
                    </m:sub>
                  </m:sSub>
                  <m:r>
                    <a:rPr lang="en-US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−</m:t>
                  </m:r>
                  <m:sSub>
                    <m:sSubPr>
                      <m:ctrlP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(</m:t>
                      </m:r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𝑉</m:t>
                      </m:r>
                    </m:e>
                    <m:sub>
                      <m:r>
                        <a:rPr lang="ru-RU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макс</m:t>
                      </m:r>
                    </m:sub>
                  </m:sSub>
                  <m:r>
                    <a:rPr lang="en-US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rad>
                    <m:radPr>
                      <m:degHide m:val="on"/>
                      <m:ctrlP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radPr>
                    <m:deg/>
                    <m:e>
                      <m:f>
                        <m:fPr>
                          <m:ctrlPr>
                            <a:rPr lang="en-US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fPr>
                        <m:num>
                          <m:r>
                            <a:rPr lang="en-US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2∗(</m:t>
                          </m:r>
                          <m:sSub>
                            <m:sSubPr>
                              <m:ctrlPr>
                                <a:rPr lang="en-US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lang="en-US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𝑆</m:t>
                              </m:r>
                            </m:e>
                            <m:sub>
                              <m:r>
                                <a:rPr lang="ru-RU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до макс</m:t>
                              </m:r>
                            </m:sub>
                          </m:sSub>
                          <m:r>
                            <a:rPr lang="en-US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)</m:t>
                          </m:r>
                        </m:num>
                        <m:den>
                          <m:r>
                            <a:rPr lang="en-US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𝑎</m:t>
                          </m:r>
                        </m:den>
                      </m:f>
                    </m:e>
                  </m:rad>
                </m:oMath>
              </a14:m>
              <a:r>
                <a:rPr lang="en-US" sz="1100"/>
                <a:t>)</a:t>
              </a:r>
              <a:endParaRPr lang="ru-RU" sz="1100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C89C0C19-F822-A61F-8F00-05C2607B95B9}"/>
                </a:ext>
              </a:extLst>
            </xdr:cNvPr>
            <xdr:cNvSpPr txBox="1"/>
          </xdr:nvSpPr>
          <xdr:spPr>
            <a:xfrm>
              <a:off x="2675911" y="8410189"/>
              <a:ext cx="4401590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𝑉_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макс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𝑡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_реак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𝐾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𝑖=〖(𝑉〗_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макс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∗𝑡) − 〖𝐾∗𝐿〗_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машины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−𝑆_(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до макс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)−〖(𝑉〗_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макс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∗√((2∗(𝑆_(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до макс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)))/𝑎)</a:t>
              </a:r>
              <a:r>
                <a:rPr lang="en-US" sz="1100"/>
                <a:t>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3</xdr:col>
      <xdr:colOff>606972</xdr:colOff>
      <xdr:row>46</xdr:row>
      <xdr:rowOff>32188</xdr:rowOff>
    </xdr:from>
    <xdr:ext cx="4671407" cy="5001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8010C949-E3A1-F84E-8C52-7B55B6BFC56B}"/>
                </a:ext>
              </a:extLst>
            </xdr:cNvPr>
            <xdr:cNvSpPr txBox="1"/>
          </xdr:nvSpPr>
          <xdr:spPr>
            <a:xfrm>
              <a:off x="2627929" y="8902862"/>
              <a:ext cx="4671407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ru-RU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𝑉</m:t>
                            </m:r>
                          </m:e>
                          <m:sub>
                            <m:r>
                              <a:rPr lang="ru-RU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макс</m:t>
                            </m:r>
                          </m:sub>
                        </m:sSub>
                        <m:sSub>
                          <m:sSubPr>
                            <m:ctrlP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𝑡</m:t>
                            </m:r>
                          </m:e>
                          <m:sub>
                            <m:r>
                              <a:rPr lang="ru-RU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реак</m:t>
                            </m:r>
                          </m:sub>
                        </m:sSub>
                        <m:r>
                          <a:rPr lang="ru-RU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+ </m:t>
                        </m:r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𝐿</m:t>
                            </m:r>
                          </m:e>
                          <m:sub>
                            <m:r>
                              <a:rPr lang="ru-RU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машины</m:t>
                            </m:r>
                          </m:sub>
                        </m:s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)∗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𝐾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𝑉</m:t>
                        </m:r>
                      </m:e>
                      <m:sub>
                        <m:r>
                          <a:rPr lang="ru-RU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макс</m:t>
                        </m:r>
                      </m:sub>
                    </m:sSub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∗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𝑡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)+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𝑆</m:t>
                        </m:r>
                      </m:e>
                      <m:sub>
                        <m:r>
                          <a:rPr lang="ru-RU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до макс</m:t>
                        </m:r>
                      </m:sub>
                    </m:sSub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𝑉</m:t>
                        </m:r>
                      </m:e>
                      <m:sub>
                        <m:r>
                          <a:rPr lang="ru-RU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макс</m:t>
                        </m:r>
                      </m:sub>
                    </m:sSub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∗</m:t>
                    </m:r>
                    <m:rad>
                      <m:radPr>
                        <m:degHide m:val="on"/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2∗(</m:t>
                            </m:r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𝑆</m:t>
                                </m:r>
                              </m:e>
                              <m:sub>
                                <m:r>
                                  <a:rPr lang="ru-RU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до макс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)</m:t>
                            </m:r>
                          </m:num>
                          <m:den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𝑎</m:t>
                            </m:r>
                          </m:den>
                        </m:f>
                      </m:e>
                    </m:rad>
                    <m:r>
                      <m:rPr>
                        <m:nor/>
                      </m:rPr>
                      <a:rPr lang="en-US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)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8010C949-E3A1-F84E-8C52-7B55B6BFC56B}"/>
                </a:ext>
              </a:extLst>
            </xdr:cNvPr>
            <xdr:cNvSpPr txBox="1"/>
          </xdr:nvSpPr>
          <xdr:spPr>
            <a:xfrm>
              <a:off x="2627929" y="8902862"/>
              <a:ext cx="4671407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〖(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𝑉〗_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макс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𝑡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_реак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+ 𝐿_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машины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)∗𝐾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𝑖=〖(𝑉〗_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макс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∗𝑡)+𝑆_(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до макс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)−〖(𝑉〗_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макс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∗√((2∗(𝑆_(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до макс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)))/𝑎)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12</xdr:col>
      <xdr:colOff>35472</xdr:colOff>
      <xdr:row>45</xdr:row>
      <xdr:rowOff>78170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440A147B-F68E-C1C6-937B-60B0128ED8C4}"/>
            </a:ext>
          </a:extLst>
        </xdr:cNvPr>
        <xdr:cNvSpPr txBox="1"/>
      </xdr:nvSpPr>
      <xdr:spPr>
        <a:xfrm>
          <a:off x="7662041" y="757992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5</xdr:col>
      <xdr:colOff>114303</xdr:colOff>
      <xdr:row>49</xdr:row>
      <xdr:rowOff>97877</xdr:rowOff>
    </xdr:from>
    <xdr:ext cx="3038652" cy="55194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6A294DDC-D3E9-43F9-AB7D-E79E88D53DD2}"/>
                </a:ext>
              </a:extLst>
            </xdr:cNvPr>
            <xdr:cNvSpPr txBox="1"/>
          </xdr:nvSpPr>
          <xdr:spPr>
            <a:xfrm>
              <a:off x="3361086" y="9540051"/>
              <a:ext cx="3038652" cy="55194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𝐾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𝑉</m:t>
                            </m:r>
                          </m:e>
                          <m:sub>
                            <m:r>
                              <a:rPr lang="ru-RU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макс</m:t>
                            </m:r>
                          </m:sub>
                        </m:s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)+</m:t>
                        </m:r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𝑆</m:t>
                            </m:r>
                          </m:e>
                          <m:sub>
                            <m:r>
                              <a:rPr lang="ru-RU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до макс</m:t>
                            </m:r>
                          </m:sub>
                        </m:s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𝑉</m:t>
                            </m:r>
                          </m:e>
                          <m:sub>
                            <m:r>
                              <a:rPr lang="ru-RU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макс</m:t>
                            </m:r>
                          </m:sub>
                        </m:s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∗</m:t>
                        </m:r>
                        <m:rad>
                          <m:radPr>
                            <m:degHide m:val="on"/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radPr>
                          <m:deg/>
                          <m:e>
                            <m:f>
                              <m:f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2∗(</m:t>
                                </m:r>
                                <m:sSub>
                                  <m:sSubPr>
                                    <m:ctrlP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𝑆</m:t>
                                    </m:r>
                                  </m:e>
                                  <m:sub>
                                    <m:r>
                                      <a:rPr lang="ru-RU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до макс</m:t>
                                    </m:r>
                                  </m:sub>
                                </m:s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)</m:t>
                                </m:r>
                              </m:num>
                              <m:den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𝑎</m:t>
                                </m:r>
                              </m:den>
                            </m:f>
                          </m:e>
                        </m:rad>
                        <m:r>
                          <m:rPr>
                            <m:nor/>
                          </m:rPr>
                          <a:rPr lang="en-US" sz="110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)</m:t>
                        </m:r>
                      </m:num>
                      <m:den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ru-RU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𝑉</m:t>
                            </m:r>
                          </m:e>
                          <m:sub>
                            <m:r>
                              <a:rPr lang="ru-RU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макс</m:t>
                            </m:r>
                          </m:sub>
                        </m:sSub>
                        <m:r>
                          <a:rPr lang="ru-RU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∗</m:t>
                        </m:r>
                        <m:sSub>
                          <m:sSubPr>
                            <m:ctrlP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𝑡</m:t>
                            </m:r>
                          </m:e>
                          <m:sub>
                            <m:r>
                              <a:rPr lang="ru-RU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реак</m:t>
                            </m:r>
                          </m:sub>
                        </m:sSub>
                        <m:r>
                          <a:rPr lang="ru-RU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+ </m:t>
                        </m:r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𝐿</m:t>
                            </m:r>
                          </m:e>
                          <m:sub>
                            <m:r>
                              <a:rPr lang="ru-RU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машины</m:t>
                            </m:r>
                          </m:sub>
                        </m:s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6A294DDC-D3E9-43F9-AB7D-E79E88D53DD2}"/>
                </a:ext>
              </a:extLst>
            </xdr:cNvPr>
            <xdr:cNvSpPr txBox="1"/>
          </xdr:nvSpPr>
          <xdr:spPr>
            <a:xfrm>
              <a:off x="3361086" y="9540051"/>
              <a:ext cx="3038652" cy="55194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𝐾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𝑖=(〖(𝑉〗_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макс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∗𝑡)+𝑆_(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до макс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)−〖(𝑉〗_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макс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∗√((2∗(𝑆_(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до макс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)))/𝑎)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"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)/(〖(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𝑉〗_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макс∗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𝑡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_реак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+ 𝐿_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машины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5</xdr:col>
      <xdr:colOff>81043</xdr:colOff>
      <xdr:row>60</xdr:row>
      <xdr:rowOff>36059</xdr:rowOff>
    </xdr:from>
    <xdr:ext cx="2204963" cy="5001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963AA83F-BDD3-4C48-9087-3F7A89A2E4E0}"/>
                </a:ext>
              </a:extLst>
            </xdr:cNvPr>
            <xdr:cNvSpPr txBox="1"/>
          </xdr:nvSpPr>
          <xdr:spPr>
            <a:xfrm>
              <a:off x="3327826" y="11573733"/>
              <a:ext cx="2204963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ad>
                      <m:radPr>
                        <m:degHide m:val="on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2∗(</m:t>
                            </m:r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𝐾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∗</m:t>
                            </m:r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𝐿</m:t>
                                </m:r>
                              </m:e>
                              <m:sub>
                                <m:r>
                                  <a:rPr lang="ru-RU" sz="1100" b="0" i="1">
                                    <a:latin typeface="Cambria Math" panose="02040503050406030204" pitchFamily="18" charset="0"/>
                                  </a:rPr>
                                  <m:t>машины</m:t>
                                </m:r>
                              </m:sub>
                            </m:s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)</m:t>
                            </m:r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den>
                        </m:f>
                      </m:e>
                    </m:rad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 </m:t>
                    </m:r>
                    <m:sSub>
                      <m:sSub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 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𝑡</m:t>
                            </m:r>
                          </m:e>
                          <m:sub>
                            <m:r>
                              <a:rPr lang="ru-RU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реак</m:t>
                            </m:r>
                          </m:sub>
                        </m:s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𝐾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963AA83F-BDD3-4C48-9087-3F7A89A2E4E0}"/>
                </a:ext>
              </a:extLst>
            </xdr:cNvPr>
            <xdr:cNvSpPr txBox="1"/>
          </xdr:nvSpPr>
          <xdr:spPr>
            <a:xfrm>
              <a:off x="3327826" y="11573733"/>
              <a:ext cx="2204963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√((2∗(𝐾_𝑖∗𝐿_</a:t>
              </a:r>
              <a:r>
                <a:rPr lang="ru-RU" sz="1100" b="0" i="0">
                  <a:latin typeface="Cambria Math" panose="02040503050406030204" pitchFamily="18" charset="0"/>
                </a:rPr>
                <a:t>машины</a:t>
              </a:r>
              <a:r>
                <a:rPr lang="en-US" sz="1100" b="0" i="0">
                  <a:latin typeface="Cambria Math" panose="02040503050406030204" pitchFamily="18" charset="0"/>
                </a:rPr>
                <a:t>))/𝑎)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 𝑡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𝑖− 〖𝑡_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реак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𝐾〗_𝑖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4</xdr:col>
      <xdr:colOff>564746</xdr:colOff>
      <xdr:row>63</xdr:row>
      <xdr:rowOff>155330</xdr:rowOff>
    </xdr:from>
    <xdr:ext cx="2334167" cy="3223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C10C4823-A86F-4DA7-AC74-E3EBA1C30513}"/>
                </a:ext>
              </a:extLst>
            </xdr:cNvPr>
            <xdr:cNvSpPr txBox="1"/>
          </xdr:nvSpPr>
          <xdr:spPr>
            <a:xfrm>
              <a:off x="3198616" y="12264504"/>
              <a:ext cx="2334167" cy="3223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2∗(</m:t>
                        </m:r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𝐾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𝑖</m:t>
                            </m:r>
                          </m:sub>
                        </m:s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∗</m:t>
                        </m:r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𝐿</m:t>
                            </m:r>
                          </m:e>
                          <m:sub>
                            <m:r>
                              <a:rPr lang="ru-RU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машины</m:t>
                            </m:r>
                          </m:sub>
                        </m:s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</m:num>
                      <m:den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</m:t>
                        </m:r>
                      </m:den>
                    </m:f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 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sSub>
                          <m:sSubPr>
                            <m:ctrlP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𝑡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𝑖</m:t>
                            </m:r>
                          </m:sub>
                        </m:s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−(</m:t>
                        </m:r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𝑡</m:t>
                                </m:r>
                              </m:e>
                              <m:sub>
                                <m:r>
                                  <a:rPr lang="ru-RU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реак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𝐾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𝑖</m:t>
                            </m:r>
                          </m:sub>
                        </m:s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))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C10C4823-A86F-4DA7-AC74-E3EBA1C30513}"/>
                </a:ext>
              </a:extLst>
            </xdr:cNvPr>
            <xdr:cNvSpPr txBox="1"/>
          </xdr:nvSpPr>
          <xdr:spPr>
            <a:xfrm>
              <a:off x="3198616" y="12264504"/>
              <a:ext cx="2334167" cy="3223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(2∗(𝐾_𝑖∗𝐿_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машины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))/𝑎= 〖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(𝑡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𝑖−(〖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𝑡_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реак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𝐾〗_𝑖))〗^2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4</xdr:col>
      <xdr:colOff>306456</xdr:colOff>
      <xdr:row>66</xdr:row>
      <xdr:rowOff>133794</xdr:rowOff>
    </xdr:from>
    <xdr:ext cx="2609021" cy="31688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31C1A110-D7AE-4124-9949-4EA1ADF4C20E}"/>
                </a:ext>
              </a:extLst>
            </xdr:cNvPr>
            <xdr:cNvSpPr txBox="1"/>
          </xdr:nvSpPr>
          <xdr:spPr>
            <a:xfrm>
              <a:off x="2940326" y="11630055"/>
              <a:ext cx="2609021" cy="3168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2∗</m:t>
                        </m:r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𝐿</m:t>
                            </m:r>
                          </m:e>
                          <m:sub>
                            <m:r>
                              <a:rPr lang="ru-RU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машины</m:t>
                            </m:r>
                          </m:sub>
                        </m:sSub>
                      </m:num>
                      <m:den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</m:t>
                        </m:r>
                      </m:den>
                    </m:f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∗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𝐾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b>
                    </m:sSub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sSub>
                          <m:sSubPr>
                            <m:ctrlP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𝑡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𝑖</m:t>
                            </m:r>
                          </m:sub>
                        </m:s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 </m:t>
                        </m:r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ru-RU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(</m:t>
                                </m:r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𝑡</m:t>
                                </m:r>
                              </m:e>
                              <m:sub>
                                <m:r>
                                  <a:rPr lang="ru-RU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реак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𝐾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𝑖</m:t>
                            </m:r>
                          </m:sub>
                        </m:s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ru-RU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31C1A110-D7AE-4124-9949-4EA1ADF4C20E}"/>
                </a:ext>
              </a:extLst>
            </xdr:cNvPr>
            <xdr:cNvSpPr txBox="1"/>
          </xdr:nvSpPr>
          <xdr:spPr>
            <a:xfrm>
              <a:off x="2940326" y="11630055"/>
              <a:ext cx="2609021" cy="3168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(2∗𝐿_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машины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)/𝑎∗𝐾_𝑖=〖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(𝑡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𝑖− 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〖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𝑡〗_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реак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𝐾〗_𝑖)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〗^2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4</xdr:col>
      <xdr:colOff>157369</xdr:colOff>
      <xdr:row>69</xdr:row>
      <xdr:rowOff>182218</xdr:rowOff>
    </xdr:from>
    <xdr:ext cx="2733262" cy="26674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20A6106C-44A4-4506-9095-EA9C41498C49}"/>
                </a:ext>
              </a:extLst>
            </xdr:cNvPr>
            <xdr:cNvSpPr txBox="1"/>
          </xdr:nvSpPr>
          <xdr:spPr>
            <a:xfrm>
              <a:off x="2791239" y="13434392"/>
              <a:ext cx="2733262" cy="2667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ctr"/>
              <a14:m>
                <m:oMath xmlns:m="http://schemas.openxmlformats.org/officeDocument/2006/math">
                  <m:f>
                    <m:fPr>
                      <m:ctrlPr>
                        <a:rPr lang="en-US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fPr>
                    <m:num>
                      <m:r>
                        <a:rPr lang="en-US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2∗</m:t>
                      </m:r>
                      <m:sSub>
                        <m:sSubPr>
                          <m:ctrlPr>
                            <a:rPr lang="en-US" sz="12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n-US" sz="12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𝐿</m:t>
                          </m:r>
                        </m:e>
                        <m:sub>
                          <m:r>
                            <a:rPr lang="ru-RU" sz="12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машины</m:t>
                          </m:r>
                        </m:sub>
                      </m:sSub>
                    </m:num>
                    <m:den>
                      <m:r>
                        <a:rPr lang="en-US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𝑎</m:t>
                      </m:r>
                    </m:den>
                  </m:f>
                  <m:r>
                    <a:rPr lang="en-US" sz="12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n-US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𝐾</m:t>
                      </m:r>
                    </m:e>
                    <m:sub>
                      <m:r>
                        <a:rPr lang="en-US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𝑖</m:t>
                      </m:r>
                    </m:sub>
                  </m:sSub>
                  <m:r>
                    <a:rPr lang="en-US" sz="12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</m:oMath>
              </a14:m>
              <a:r>
                <a:rPr lang="en-US" sz="1100"/>
                <a:t> </a:t>
              </a:r>
              <a14:m>
                <m:oMath xmlns:m="http://schemas.openxmlformats.org/officeDocument/2006/math">
                  <m:sSup>
                    <m:sSup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𝑡</m:t>
                      </m:r>
                    </m:e>
                    <m:sup>
                      <m:r>
                        <a:rPr lang="en-US" sz="1100" b="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  <m:r>
                    <a:rPr lang="en-US" sz="1100" b="0" i="1">
                      <a:latin typeface="Cambria Math" panose="02040503050406030204" pitchFamily="18" charset="0"/>
                    </a:rPr>
                    <m:t>−2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𝑡</m:t>
                  </m:r>
                  <m:sSub>
                    <m:sSubPr>
                      <m:ctrlP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𝑡</m:t>
                      </m:r>
                    </m:e>
                    <m:sub>
                      <m:r>
                        <a:rPr lang="ru-RU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реак</m:t>
                      </m:r>
                    </m:sub>
                  </m:sSub>
                  <m:r>
                    <a:rPr lang="en-US" sz="1100" b="0" i="1">
                      <a:latin typeface="Cambria Math" panose="02040503050406030204" pitchFamily="18" charset="0"/>
                    </a:rPr>
                    <m:t>𝐾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+</m:t>
                  </m:r>
                  <m:sSubSup>
                    <m:sSubSup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Sup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𝑡</m:t>
                      </m:r>
                    </m:e>
                    <m:sub>
                      <m:r>
                        <a:rPr lang="ru-RU" sz="1100" b="0" i="1">
                          <a:latin typeface="Cambria Math" panose="02040503050406030204" pitchFamily="18" charset="0"/>
                        </a:rPr>
                        <m:t>реак</m:t>
                      </m:r>
                    </m:sub>
                    <m:sup>
                      <m:r>
                        <a:rPr lang="ru-RU" sz="1100" b="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bSup>
                  <m:sSup>
                    <m:sSup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𝐾</m:t>
                      </m:r>
                    </m:e>
                    <m:sup>
                      <m:r>
                        <a:rPr lang="en-US" sz="1100" b="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</m:oMath>
              </a14:m>
              <a:endParaRPr lang="ru-RU" sz="1100"/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20A6106C-44A4-4506-9095-EA9C41498C49}"/>
                </a:ext>
              </a:extLst>
            </xdr:cNvPr>
            <xdr:cNvSpPr txBox="1"/>
          </xdr:nvSpPr>
          <xdr:spPr>
            <a:xfrm>
              <a:off x="2791239" y="13434392"/>
              <a:ext cx="2733262" cy="2667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ctr"/>
              <a:r>
                <a:rPr lang="en-US" sz="1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(2∗𝐿_</a:t>
              </a:r>
              <a:r>
                <a:rPr lang="ru-RU" sz="1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машины</a:t>
              </a:r>
              <a:r>
                <a:rPr lang="en-US" sz="1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)/𝑎∗𝐾_𝑖=</a:t>
              </a:r>
              <a:r>
                <a:rPr lang="en-US" sz="1100"/>
                <a:t> </a:t>
              </a:r>
              <a:r>
                <a:rPr lang="en-US" sz="1100" b="0" i="0">
                  <a:latin typeface="Cambria Math" panose="02040503050406030204" pitchFamily="18" charset="0"/>
                </a:rPr>
                <a:t>𝑡^2−2𝑡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𝑡_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реак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100" b="0" i="0">
                  <a:latin typeface="Cambria Math" panose="02040503050406030204" pitchFamily="18" charset="0"/>
                </a:rPr>
                <a:t>𝐾+𝑡_</a:t>
              </a:r>
              <a:r>
                <a:rPr lang="ru-RU" sz="1100" b="0" i="0">
                  <a:latin typeface="Cambria Math" panose="02040503050406030204" pitchFamily="18" charset="0"/>
                </a:rPr>
                <a:t>реак</a:t>
              </a:r>
              <a:r>
                <a:rPr lang="en-US" sz="1100" b="0" i="0">
                  <a:latin typeface="Cambria Math" panose="02040503050406030204" pitchFamily="18" charset="0"/>
                </a:rPr>
                <a:t>^</a:t>
              </a:r>
              <a:r>
                <a:rPr lang="ru-RU" sz="1100" b="0" i="0">
                  <a:latin typeface="Cambria Math" panose="02040503050406030204" pitchFamily="18" charset="0"/>
                </a:rPr>
                <a:t>2</a:t>
              </a:r>
              <a:r>
                <a:rPr lang="en-US" sz="1100" b="0" i="0">
                  <a:latin typeface="Cambria Math" panose="02040503050406030204" pitchFamily="18" charset="0"/>
                </a:rPr>
                <a:t> 𝐾^2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4</xdr:col>
      <xdr:colOff>124240</xdr:colOff>
      <xdr:row>72</xdr:row>
      <xdr:rowOff>115957</xdr:rowOff>
    </xdr:from>
    <xdr:ext cx="2857500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C65A26DD-345D-D3B8-0341-C4AB025ED0C1}"/>
                </a:ext>
              </a:extLst>
            </xdr:cNvPr>
            <xdr:cNvSpPr txBox="1"/>
          </xdr:nvSpPr>
          <xdr:spPr>
            <a:xfrm>
              <a:off x="2758110" y="13939631"/>
              <a:ext cx="28575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b="0" i="1">
                        <a:latin typeface="Cambria Math" panose="02040503050406030204" pitchFamily="18" charset="0"/>
                      </a:rPr>
                      <m:t>0= </m:t>
                    </m:r>
                    <m:sSup>
                      <m:sSupPr>
                        <m:ctrlPr>
                          <a:rPr lang="ru-RU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sSubSup>
                          <m:sSubSup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Sup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𝑡</m:t>
                            </m:r>
                          </m:e>
                          <m:sub>
                            <m:r>
                              <a:rPr lang="ru-RU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реак</m:t>
                            </m:r>
                          </m:sub>
                          <m:sup>
                            <m:r>
                              <a:rPr lang="ru-RU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b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𝐾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100" b="0" i="1">
                        <a:latin typeface="Cambria Math" panose="02040503050406030204" pitchFamily="18" charset="0"/>
                      </a:rPr>
                      <m:t>−2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𝑡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</m:e>
                      <m:sub>
                        <m:r>
                          <a:rPr lang="ru-RU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реак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𝐾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+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100" b="0" i="1">
                        <a:latin typeface="Cambria Math" panose="02040503050406030204" pitchFamily="18" charset="0"/>
                      </a:rPr>
                      <m:t>−</m:t>
                    </m:r>
                    <m:f>
                      <m:f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2∗</m:t>
                        </m:r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𝐿</m:t>
                            </m:r>
                          </m:e>
                          <m:sub>
                            <m:r>
                              <a:rPr lang="ru-RU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машины</m:t>
                            </m:r>
                          </m:sub>
                        </m:sSub>
                      </m:num>
                      <m:den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</m:t>
                        </m:r>
                      </m:den>
                    </m:f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∗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𝐾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C65A26DD-345D-D3B8-0341-C4AB025ED0C1}"/>
                </a:ext>
              </a:extLst>
            </xdr:cNvPr>
            <xdr:cNvSpPr txBox="1"/>
          </xdr:nvSpPr>
          <xdr:spPr>
            <a:xfrm>
              <a:off x="2758110" y="13939631"/>
              <a:ext cx="28575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ru-RU" sz="1100" b="0" i="0">
                  <a:latin typeface="Cambria Math" panose="02040503050406030204" pitchFamily="18" charset="0"/>
                </a:rPr>
                <a:t>0= 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𝑡_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реак^2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100" b="0" i="0">
                  <a:latin typeface="Cambria Math" panose="02040503050406030204" pitchFamily="18" charset="0"/>
                </a:rPr>
                <a:t>𝐾</a:t>
              </a:r>
              <a:r>
                <a:rPr lang="ru-RU" sz="1100" b="0" i="0">
                  <a:latin typeface="Cambria Math" panose="02040503050406030204" pitchFamily="18" charset="0"/>
                </a:rPr>
                <a:t>〗^</a:t>
              </a:r>
              <a:r>
                <a:rPr lang="en-US" sz="1100" b="0" i="0">
                  <a:latin typeface="Cambria Math" panose="02040503050406030204" pitchFamily="18" charset="0"/>
                </a:rPr>
                <a:t>2−2𝑡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𝑡_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реак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100" b="0" i="0">
                  <a:latin typeface="Cambria Math" panose="02040503050406030204" pitchFamily="18" charset="0"/>
                </a:rPr>
                <a:t>𝐾+𝑡^2−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(2∗𝐿_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машины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)/𝑎∗𝐾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4</xdr:col>
      <xdr:colOff>56323</xdr:colOff>
      <xdr:row>75</xdr:row>
      <xdr:rowOff>89450</xdr:rowOff>
    </xdr:from>
    <xdr:ext cx="3016525" cy="46548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545083F1-F121-5A8F-00F1-0EAC9C517179}"/>
                </a:ext>
              </a:extLst>
            </xdr:cNvPr>
            <xdr:cNvSpPr txBox="1"/>
          </xdr:nvSpPr>
          <xdr:spPr>
            <a:xfrm>
              <a:off x="2690193" y="14484624"/>
              <a:ext cx="3016525" cy="4654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0= </m:t>
                    </m:r>
                    <m:sSup>
                      <m:sSupPr>
                        <m:ctrlPr>
                          <a:rPr lang="ru-RU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sSubSup>
                          <m:sSubSup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Sup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𝑡</m:t>
                            </m:r>
                          </m:e>
                          <m:sub>
                            <m:r>
                              <a:rPr lang="ru-RU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реак</m:t>
                            </m:r>
                          </m:sub>
                          <m:sup>
                            <m:r>
                              <a:rPr lang="ru-RU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b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𝐾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d>
                      <m:d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𝑡</m:t>
                            </m:r>
                          </m:e>
                          <m:sub>
                            <m:r>
                              <a:rPr lang="ru-RU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реак</m:t>
                            </m:r>
                          </m:sub>
                        </m:s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f>
                          <m:f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2∗</m:t>
                            </m:r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𝐿</m:t>
                                </m:r>
                              </m:e>
                              <m:sub>
                                <m:r>
                                  <a:rPr lang="ru-RU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машины</m:t>
                                </m:r>
                              </m:sub>
                            </m:sSub>
                          </m:num>
                          <m:den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𝑎</m:t>
                            </m:r>
                          </m:den>
                        </m:f>
                      </m:e>
                    </m:d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∗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𝐾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ru-RU">
                <a:effectLst/>
              </a:endParaRPr>
            </a:p>
            <a:p>
              <a:endParaRPr lang="ru-RU" sz="1100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545083F1-F121-5A8F-00F1-0EAC9C517179}"/>
                </a:ext>
              </a:extLst>
            </xdr:cNvPr>
            <xdr:cNvSpPr txBox="1"/>
          </xdr:nvSpPr>
          <xdr:spPr>
            <a:xfrm>
              <a:off x="2690193" y="14484624"/>
              <a:ext cx="3016525" cy="4654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0= 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𝑡_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реак^2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𝐾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〗^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2−(2𝑡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𝑡_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реак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+(2∗𝐿_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машины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)/𝑎)∗𝐾+𝑡^2</a:t>
              </a:r>
              <a:endParaRPr lang="ru-RU">
                <a:effectLst/>
              </a:endParaRPr>
            </a:p>
            <a:p>
              <a:endParaRPr lang="ru-RU" sz="1100"/>
            </a:p>
          </xdr:txBody>
        </xdr:sp>
      </mc:Fallback>
    </mc:AlternateContent>
    <xdr:clientData/>
  </xdr:oneCellAnchor>
  <xdr:oneCellAnchor>
    <xdr:from>
      <xdr:col>4</xdr:col>
      <xdr:colOff>457198</xdr:colOff>
      <xdr:row>78</xdr:row>
      <xdr:rowOff>59634</xdr:rowOff>
    </xdr:from>
    <xdr:ext cx="2317301" cy="41383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3436A758-2999-42F2-8255-07EECB3F28A4}"/>
                </a:ext>
              </a:extLst>
            </xdr:cNvPr>
            <xdr:cNvSpPr txBox="1"/>
          </xdr:nvSpPr>
          <xdr:spPr>
            <a:xfrm>
              <a:off x="3091068" y="15026308"/>
              <a:ext cx="2317301" cy="4138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𝐷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=−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𝑡</m:t>
                            </m:r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𝑡</m:t>
                                </m:r>
                              </m:e>
                              <m:sub>
                                <m:r>
                                  <a:rPr lang="ru-RU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реак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f>
                              <m:f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𝐿</m:t>
                                </m:r>
                              </m:num>
                              <m:den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𝑎</m:t>
                                </m:r>
                              </m:den>
                            </m:f>
                          </m:e>
                        </m:d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100" b="0" i="1">
                        <a:latin typeface="Cambria Math" panose="02040503050406030204" pitchFamily="18" charset="0"/>
                      </a:rPr>
                      <m:t>−4∗</m:t>
                    </m:r>
                    <m:sSubSup>
                      <m:sSub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</m:e>
                      <m:sub>
                        <m:r>
                          <a:rPr lang="ru-RU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реак</m:t>
                        </m:r>
                      </m:sub>
                      <m:sup>
                        <m:r>
                          <a:rPr lang="ru-RU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bSup>
                    <m:r>
                      <a:rPr lang="en-US" sz="1100" b="0" i="1">
                        <a:latin typeface="Cambria Math" panose="02040503050406030204" pitchFamily="18" charset="0"/>
                      </a:rPr>
                      <m:t>∗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3436A758-2999-42F2-8255-07EECB3F28A4}"/>
                </a:ext>
              </a:extLst>
            </xdr:cNvPr>
            <xdr:cNvSpPr txBox="1"/>
          </xdr:nvSpPr>
          <xdr:spPr>
            <a:xfrm>
              <a:off x="3091068" y="15026308"/>
              <a:ext cx="2317301" cy="4138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𝐷</a:t>
              </a:r>
              <a:r>
                <a:rPr lang="en-US" sz="1100" b="0" i="0">
                  <a:latin typeface="Cambria Math" panose="02040503050406030204" pitchFamily="18" charset="0"/>
                </a:rPr>
                <a:t>=−(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2𝑡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𝑡_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реак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+2𝐿/𝑎)^</a:t>
              </a:r>
              <a:r>
                <a:rPr lang="en-US" sz="1100" b="0" i="0">
                  <a:latin typeface="Cambria Math" panose="02040503050406030204" pitchFamily="18" charset="0"/>
                </a:rPr>
                <a:t>2−4∗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𝑡_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реак^2</a:t>
              </a:r>
              <a:r>
                <a:rPr lang="en-US" sz="1100" b="0" i="0">
                  <a:latin typeface="Cambria Math" panose="02040503050406030204" pitchFamily="18" charset="0"/>
                </a:rPr>
                <a:t>∗𝑡^2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5</xdr:col>
      <xdr:colOff>130866</xdr:colOff>
      <xdr:row>81</xdr:row>
      <xdr:rowOff>72888</xdr:rowOff>
    </xdr:from>
    <xdr:ext cx="1662057" cy="48199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106E0B50-97AE-56E1-76C7-99BC9159A768}"/>
                </a:ext>
              </a:extLst>
            </xdr:cNvPr>
            <xdr:cNvSpPr txBox="1"/>
          </xdr:nvSpPr>
          <xdr:spPr>
            <a:xfrm>
              <a:off x="3377649" y="15611062"/>
              <a:ext cx="1662057" cy="4819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𝐾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𝑡</m:t>
                            </m:r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𝑡</m:t>
                                </m:r>
                              </m:e>
                              <m:sub>
                                <m:r>
                                  <a:rPr lang="ru-RU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реак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−</m:t>
                            </m:r>
                            <m:f>
                              <m:f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𝐿</m:t>
                                </m:r>
                              </m:num>
                              <m:den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𝑎</m:t>
                                </m:r>
                              </m:den>
                            </m:f>
                          </m:e>
                        </m:d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rad>
                          <m:radPr>
                            <m:degHide m:val="on"/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radPr>
                          <m:deg/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𝐷</m:t>
                            </m:r>
                          </m:e>
                        </m:rad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2∗</m:t>
                        </m:r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𝑡</m:t>
                            </m:r>
                          </m:e>
                          <m:sub>
                            <m:r>
                              <a:rPr lang="ru-RU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реак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106E0B50-97AE-56E1-76C7-99BC9159A768}"/>
                </a:ext>
              </a:extLst>
            </xdr:cNvPr>
            <xdr:cNvSpPr txBox="1"/>
          </xdr:nvSpPr>
          <xdr:spPr>
            <a:xfrm>
              <a:off x="3377649" y="15611062"/>
              <a:ext cx="1662057" cy="4819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𝐾_1=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((2𝑡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𝑡_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реак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 −2𝐿/𝑎)−√𝐷)/(</a:t>
              </a:r>
              <a:r>
                <a:rPr lang="en-US" sz="1100" b="0" i="0">
                  <a:latin typeface="Cambria Math" panose="02040503050406030204" pitchFamily="18" charset="0"/>
                </a:rPr>
                <a:t>2∗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𝑡_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реак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5</xdr:col>
      <xdr:colOff>339587</xdr:colOff>
      <xdr:row>84</xdr:row>
      <xdr:rowOff>82827</xdr:rowOff>
    </xdr:from>
    <xdr:ext cx="1361527" cy="48199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A4272F2F-D2E1-44BD-8C83-CF73E331E7CA}"/>
                </a:ext>
              </a:extLst>
            </xdr:cNvPr>
            <xdr:cNvSpPr txBox="1"/>
          </xdr:nvSpPr>
          <xdr:spPr>
            <a:xfrm>
              <a:off x="3586370" y="16192501"/>
              <a:ext cx="1361527" cy="4819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𝐾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𝑡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f>
                              <m:f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𝐿</m:t>
                                </m:r>
                              </m:num>
                              <m:den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𝑎</m:t>
                                </m:r>
                              </m:den>
                            </m:f>
                          </m:e>
                        </m:d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rad>
                          <m:radPr>
                            <m:degHide m:val="on"/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radPr>
                          <m:deg/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𝐷</m:t>
                            </m:r>
                          </m:e>
                        </m:rad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2∗</m:t>
                        </m:r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𝑡</m:t>
                            </m:r>
                          </m:e>
                          <m:sub>
                            <m:r>
                              <a:rPr lang="ru-RU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реак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A4272F2F-D2E1-44BD-8C83-CF73E331E7CA}"/>
                </a:ext>
              </a:extLst>
            </xdr:cNvPr>
            <xdr:cNvSpPr txBox="1"/>
          </xdr:nvSpPr>
          <xdr:spPr>
            <a:xfrm>
              <a:off x="3586370" y="16192501"/>
              <a:ext cx="1361527" cy="4819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𝐾_2=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((2𝑡+2𝐿/𝑎)−√𝐷)/(</a:t>
              </a:r>
              <a:r>
                <a:rPr lang="en-US" sz="1100" b="0" i="0">
                  <a:latin typeface="Cambria Math" panose="02040503050406030204" pitchFamily="18" charset="0"/>
                </a:rPr>
                <a:t>2∗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𝑡_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реак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4</xdr:col>
      <xdr:colOff>563209</xdr:colOff>
      <xdr:row>10</xdr:row>
      <xdr:rowOff>132520</xdr:rowOff>
    </xdr:from>
    <xdr:ext cx="1912896" cy="3449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BC486B66-39D3-4A8F-BB64-4DEE8E972436}"/>
                </a:ext>
              </a:extLst>
            </xdr:cNvPr>
            <xdr:cNvSpPr txBox="1"/>
          </xdr:nvSpPr>
          <xdr:spPr>
            <a:xfrm>
              <a:off x="3197079" y="1722781"/>
              <a:ext cx="1912896" cy="3449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до макс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разгона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+ 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  <m:sSubSup>
                          <m:sSub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e>
                          <m:sub>
                            <m:r>
                              <a:rPr lang="ru-RU" sz="1100" b="0" i="1">
                                <a:latin typeface="Cambria Math" panose="02040503050406030204" pitchFamily="18" charset="0"/>
                              </a:rPr>
                              <m:t>разгона</m:t>
                            </m:r>
                          </m:sub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BC486B66-39D3-4A8F-BB64-4DEE8E972436}"/>
                </a:ext>
              </a:extLst>
            </xdr:cNvPr>
            <xdr:cNvSpPr txBox="1"/>
          </xdr:nvSpPr>
          <xdr:spPr>
            <a:xfrm>
              <a:off x="3197079" y="1722781"/>
              <a:ext cx="1912896" cy="3449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𝑆_(</a:t>
              </a:r>
              <a:r>
                <a:rPr lang="ru-RU" sz="1100" b="0" i="0">
                  <a:latin typeface="Cambria Math" panose="02040503050406030204" pitchFamily="18" charset="0"/>
                </a:rPr>
                <a:t>до макс</a:t>
              </a:r>
              <a:r>
                <a:rPr lang="en-US" sz="1100" b="0" i="0">
                  <a:latin typeface="Cambria Math" panose="02040503050406030204" pitchFamily="18" charset="0"/>
                </a:rPr>
                <a:t>)=𝑉_0 𝑡_</a:t>
              </a:r>
              <a:r>
                <a:rPr lang="ru-RU" sz="1100" b="0" i="0">
                  <a:latin typeface="Cambria Math" panose="02040503050406030204" pitchFamily="18" charset="0"/>
                </a:rPr>
                <a:t>разгона</a:t>
              </a:r>
              <a:r>
                <a:rPr lang="en-US" sz="1100" b="0" i="0">
                  <a:latin typeface="Cambria Math" panose="02040503050406030204" pitchFamily="18" charset="0"/>
                </a:rPr>
                <a:t>+  (𝑎𝑡_</a:t>
              </a:r>
              <a:r>
                <a:rPr lang="ru-RU" sz="1100" b="0" i="0">
                  <a:latin typeface="Cambria Math" panose="02040503050406030204" pitchFamily="18" charset="0"/>
                </a:rPr>
                <a:t>разгона^</a:t>
              </a:r>
              <a:r>
                <a:rPr lang="en-US" sz="1100" b="0" i="0">
                  <a:latin typeface="Cambria Math" panose="02040503050406030204" pitchFamily="18" charset="0"/>
                </a:rPr>
                <a:t>2)/2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5</xdr:col>
      <xdr:colOff>536713</xdr:colOff>
      <xdr:row>0</xdr:row>
      <xdr:rowOff>0</xdr:rowOff>
    </xdr:from>
    <xdr:ext cx="770467" cy="18479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35270319-81F2-50F6-4273-18D2096C0D5F}"/>
                </a:ext>
              </a:extLst>
            </xdr:cNvPr>
            <xdr:cNvSpPr txBox="1"/>
          </xdr:nvSpPr>
          <xdr:spPr>
            <a:xfrm>
              <a:off x="3783496" y="0"/>
              <a:ext cx="770467" cy="18479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светофора вкл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35270319-81F2-50F6-4273-18D2096C0D5F}"/>
                </a:ext>
              </a:extLst>
            </xdr:cNvPr>
            <xdr:cNvSpPr txBox="1"/>
          </xdr:nvSpPr>
          <xdr:spPr>
            <a:xfrm>
              <a:off x="3783496" y="0"/>
              <a:ext cx="770467" cy="18479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𝑡</a:t>
              </a:r>
              <a:r>
                <a:rPr lang="ru-RU" sz="1100" b="0" i="0">
                  <a:latin typeface="Cambria Math" panose="02040503050406030204" pitchFamily="18" charset="0"/>
                </a:rPr>
                <a:t>_(светофора вкл)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6</xdr:col>
      <xdr:colOff>139140</xdr:colOff>
      <xdr:row>4</xdr:row>
      <xdr:rowOff>114304</xdr:rowOff>
    </xdr:from>
    <xdr:ext cx="313419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8C3559EF-688A-B504-2F04-CDECEC0292F6}"/>
                </a:ext>
              </a:extLst>
            </xdr:cNvPr>
            <xdr:cNvSpPr txBox="1"/>
          </xdr:nvSpPr>
          <xdr:spPr>
            <a:xfrm>
              <a:off x="3998836" y="495304"/>
              <a:ext cx="31341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𝑉</m:t>
                        </m:r>
                      </m:e>
                      <m:sub>
                        <m:r>
                          <a:rPr lang="ru-RU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макс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8C3559EF-688A-B504-2F04-CDECEC0292F6}"/>
                </a:ext>
              </a:extLst>
            </xdr:cNvPr>
            <xdr:cNvSpPr txBox="1"/>
          </xdr:nvSpPr>
          <xdr:spPr>
            <a:xfrm>
              <a:off x="3998836" y="495304"/>
              <a:ext cx="31341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𝑉_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макс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6</xdr:col>
      <xdr:colOff>6619</xdr:colOff>
      <xdr:row>13</xdr:row>
      <xdr:rowOff>14908</xdr:rowOff>
    </xdr:from>
    <xdr:ext cx="1078402" cy="31797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64FAB6F6-C856-20F7-39BB-E2247578930E}"/>
                </a:ext>
              </a:extLst>
            </xdr:cNvPr>
            <xdr:cNvSpPr txBox="1"/>
          </xdr:nvSpPr>
          <xdr:spPr>
            <a:xfrm>
              <a:off x="3866315" y="2599082"/>
              <a:ext cx="1078402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𝑖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ru-R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ru-RU" sz="1100" b="0" i="1">
                                <a:latin typeface="Cambria Math" panose="02040503050406030204" pitchFamily="18" charset="0"/>
                              </a:rPr>
                              <m:t>до макс</m:t>
                            </m:r>
                          </m:sub>
                        </m:sSub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𝐿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+1</m:t>
                    </m:r>
                  </m:oMath>
                </m:oMathPara>
              </a14:m>
              <a:endParaRPr lang="en-US" sz="1100" b="0"/>
            </a:p>
          </xdr:txBody>
        </xdr:sp>
      </mc:Choice>
      <mc:Fallback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64FAB6F6-C856-20F7-39BB-E2247578930E}"/>
                </a:ext>
              </a:extLst>
            </xdr:cNvPr>
            <xdr:cNvSpPr txBox="1"/>
          </xdr:nvSpPr>
          <xdr:spPr>
            <a:xfrm>
              <a:off x="3866315" y="2599082"/>
              <a:ext cx="1078402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𝑖=𝑆</a:t>
              </a:r>
              <a:r>
                <a:rPr lang="ru-RU" sz="1100" b="0" i="0">
                  <a:latin typeface="Cambria Math" panose="02040503050406030204" pitchFamily="18" charset="0"/>
                </a:rPr>
                <a:t>_(до макс)/</a:t>
              </a:r>
              <a:r>
                <a:rPr lang="en-US" sz="1100" b="0" i="0">
                  <a:latin typeface="Cambria Math" panose="02040503050406030204" pitchFamily="18" charset="0"/>
                </a:rPr>
                <a:t>𝐿+1</a:t>
              </a:r>
              <a:endParaRPr lang="en-US" sz="1100" b="0"/>
            </a:p>
          </xdr:txBody>
        </xdr:sp>
      </mc:Fallback>
    </mc:AlternateContent>
    <xdr:clientData/>
  </xdr:oneCellAnchor>
  <xdr:oneCellAnchor>
    <xdr:from>
      <xdr:col>1</xdr:col>
      <xdr:colOff>371060</xdr:colOff>
      <xdr:row>24</xdr:row>
      <xdr:rowOff>180560</xdr:rowOff>
    </xdr:from>
    <xdr:ext cx="457625" cy="18473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0019B4BA-968F-CD44-1269-A91649DFA758}"/>
                </a:ext>
              </a:extLst>
            </xdr:cNvPr>
            <xdr:cNvSpPr txBox="1"/>
          </xdr:nvSpPr>
          <xdr:spPr>
            <a:xfrm>
              <a:off x="1075082" y="2532821"/>
              <a:ext cx="457625" cy="1847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</m:e>
                      <m:sub>
                        <m:r>
                          <a:rPr lang="ru-RU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разгона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0019B4BA-968F-CD44-1269-A91649DFA758}"/>
                </a:ext>
              </a:extLst>
            </xdr:cNvPr>
            <xdr:cNvSpPr txBox="1"/>
          </xdr:nvSpPr>
          <xdr:spPr>
            <a:xfrm>
              <a:off x="1075082" y="2532821"/>
              <a:ext cx="457625" cy="1847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𝑡_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разгона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3</xdr:col>
      <xdr:colOff>387619</xdr:colOff>
      <xdr:row>27</xdr:row>
      <xdr:rowOff>114304</xdr:rowOff>
    </xdr:from>
    <xdr:ext cx="3688254" cy="53271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159F5B26-2397-4468-BBEC-C60BB821B472}"/>
                </a:ext>
              </a:extLst>
            </xdr:cNvPr>
            <xdr:cNvSpPr txBox="1"/>
          </xdr:nvSpPr>
          <xdr:spPr>
            <a:xfrm>
              <a:off x="2408576" y="5365478"/>
              <a:ext cx="3688254" cy="5327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𝐾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𝑉</m:t>
                            </m:r>
                          </m:e>
                          <m:sub>
                            <m:r>
                              <a:rPr lang="ru-RU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макс</m:t>
                            </m:r>
                          </m:sub>
                        </m:s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∗</m:t>
                        </m:r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𝑡</m:t>
                            </m:r>
                          </m:e>
                          <m:sub>
                            <m:r>
                              <a:rPr lang="ru-RU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светофора вкл</m:t>
                            </m:r>
                          </m:sub>
                        </m:s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)+</m:t>
                        </m:r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𝑆</m:t>
                            </m:r>
                          </m:e>
                          <m:sub>
                            <m:r>
                              <a:rPr lang="ru-RU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до макс</m:t>
                            </m:r>
                          </m:sub>
                        </m:s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𝑉</m:t>
                            </m:r>
                          </m:e>
                          <m:sub>
                            <m:r>
                              <a:rPr lang="ru-RU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макс</m:t>
                            </m:r>
                          </m:sub>
                        </m:s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∗</m:t>
                        </m:r>
                        <m:rad>
                          <m:radPr>
                            <m:degHide m:val="on"/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radPr>
                          <m:deg/>
                          <m:e>
                            <m:f>
                              <m:f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2∗(</m:t>
                                </m:r>
                                <m:sSub>
                                  <m:sSubPr>
                                    <m:ctrlP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𝑆</m:t>
                                    </m:r>
                                  </m:e>
                                  <m:sub>
                                    <m:r>
                                      <a:rPr lang="ru-RU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до макс</m:t>
                                    </m:r>
                                  </m:sub>
                                </m:s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)</m:t>
                                </m:r>
                              </m:num>
                              <m:den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𝑎</m:t>
                                </m:r>
                              </m:den>
                            </m:f>
                          </m:e>
                        </m:rad>
                        <m:r>
                          <m:rPr>
                            <m:nor/>
                          </m:rPr>
                          <a:rPr lang="en-US" sz="110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)</m:t>
                        </m:r>
                      </m:num>
                      <m:den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𝑉</m:t>
                            </m:r>
                          </m:e>
                          <m:sub>
                            <m:r>
                              <a:rPr lang="ru-RU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макс</m:t>
                            </m:r>
                          </m:sub>
                        </m:s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+ </m:t>
                        </m:r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𝐿</m:t>
                            </m:r>
                          </m:e>
                          <m:sub>
                            <m:r>
                              <a:rPr lang="ru-RU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машины</m:t>
                            </m:r>
                          </m:sub>
                        </m:s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159F5B26-2397-4468-BBEC-C60BB821B472}"/>
                </a:ext>
              </a:extLst>
            </xdr:cNvPr>
            <xdr:cNvSpPr txBox="1"/>
          </xdr:nvSpPr>
          <xdr:spPr>
            <a:xfrm>
              <a:off x="2408576" y="5365478"/>
              <a:ext cx="3688254" cy="5327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𝐾=(〖(𝑉〗_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макс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∗𝑡_(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светофора вкл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))+𝑆_(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до макс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)−〖(𝑉〗_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макс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∗√((2∗(𝑆_(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до макс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)))/𝑎)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"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)/(〖(𝑉〗_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макс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 + 𝐿_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машины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4</xdr:col>
      <xdr:colOff>528426</xdr:colOff>
      <xdr:row>24</xdr:row>
      <xdr:rowOff>81165</xdr:rowOff>
    </xdr:from>
    <xdr:ext cx="2728889" cy="5010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EC6CF279-CFAA-4381-B346-1689E8A5F0BF}"/>
                </a:ext>
              </a:extLst>
            </xdr:cNvPr>
            <xdr:cNvSpPr txBox="1"/>
          </xdr:nvSpPr>
          <xdr:spPr>
            <a:xfrm>
              <a:off x="3162296" y="4760839"/>
              <a:ext cx="2728889" cy="5010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𝐾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  <m:r>
                              <a:rPr lang="ru-RU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∗</m:t>
                            </m:r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𝑡</m:t>
                                </m:r>
                              </m:e>
                              <m:sub>
                                <m:r>
                                  <a:rPr lang="ru-RU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светофора вкл</m:t>
                                </m:r>
                              </m:sub>
                            </m:sSub>
                            <m:sSub>
                              <m:sSubPr>
                                <m:ctrlPr>
                                  <a:rPr lang="ru-RU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ru-RU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∗</m:t>
                                </m:r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𝑡</m:t>
                                </m:r>
                              </m:e>
                              <m:sub>
                                <m:r>
                                  <a:rPr lang="ru-RU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реакции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−</m:t>
                            </m:r>
                            <m:f>
                              <m:f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𝐿</m:t>
                                </m:r>
                              </m:num>
                              <m:den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𝑎</m:t>
                                </m:r>
                              </m:den>
                            </m:f>
                          </m:e>
                        </m:d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rad>
                          <m:radPr>
                            <m:degHide m:val="on"/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radPr>
                          <m:deg/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𝐷</m:t>
                            </m:r>
                          </m:e>
                        </m:rad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2∗</m:t>
                        </m:r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e>
                              <m:sub>
                                <m:r>
                                  <a:rPr lang="ru-RU" sz="1100" b="0" i="1">
                                    <a:latin typeface="Cambria Math" panose="02040503050406030204" pitchFamily="18" charset="0"/>
                                  </a:rPr>
                                  <m:t>реакции</m:t>
                                </m:r>
                              </m:sub>
                            </m:sSub>
                          </m:e>
                          <m:sup>
                            <m:r>
                              <a:rPr lang="ru-RU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EC6CF279-CFAA-4381-B346-1689E8A5F0BF}"/>
                </a:ext>
              </a:extLst>
            </xdr:cNvPr>
            <xdr:cNvSpPr txBox="1"/>
          </xdr:nvSpPr>
          <xdr:spPr>
            <a:xfrm>
              <a:off x="3162296" y="4760839"/>
              <a:ext cx="2728889" cy="5010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𝐾=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((2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𝑡_(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светофора вкл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〖∗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𝑡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〗_реакции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 −2𝐿/𝑎)−√𝐷)/(</a:t>
              </a:r>
              <a:r>
                <a:rPr lang="en-US" sz="1100" b="0" i="0">
                  <a:latin typeface="Cambria Math" panose="02040503050406030204" pitchFamily="18" charset="0"/>
                </a:rPr>
                <a:t>2∗〖𝑡_</a:t>
              </a:r>
              <a:r>
                <a:rPr lang="ru-RU" sz="1100" b="0" i="0">
                  <a:latin typeface="Cambria Math" panose="02040503050406030204" pitchFamily="18" charset="0"/>
                </a:rPr>
                <a:t>реакции</a:t>
              </a:r>
              <a:r>
                <a:rPr lang="en-US" sz="1100" b="0" i="0">
                  <a:latin typeface="Cambria Math" panose="02040503050406030204" pitchFamily="18" charset="0"/>
                </a:rPr>
                <a:t>〗^</a:t>
              </a:r>
              <a:r>
                <a:rPr lang="ru-RU" sz="1100" b="0" i="0">
                  <a:latin typeface="Cambria Math" panose="02040503050406030204" pitchFamily="18" charset="0"/>
                </a:rPr>
                <a:t>2</a:t>
              </a:r>
              <a:r>
                <a:rPr lang="en-US" sz="1100" b="0" i="0">
                  <a:latin typeface="Cambria Math" panose="02040503050406030204" pitchFamily="18" charset="0"/>
                </a:rPr>
                <a:t> 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3</xdr:col>
      <xdr:colOff>23185</xdr:colOff>
      <xdr:row>21</xdr:row>
      <xdr:rowOff>56321</xdr:rowOff>
    </xdr:from>
    <xdr:ext cx="4324645" cy="41383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A202413F-EA78-40EC-9773-45F3E5FD7CFA}"/>
                </a:ext>
              </a:extLst>
            </xdr:cNvPr>
            <xdr:cNvSpPr txBox="1"/>
          </xdr:nvSpPr>
          <xdr:spPr>
            <a:xfrm>
              <a:off x="2044142" y="4164495"/>
              <a:ext cx="4324645" cy="4138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𝐷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=−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  <m:r>
                              <a:rPr lang="ru-RU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∗</m:t>
                            </m:r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𝑡</m:t>
                                </m:r>
                              </m:e>
                              <m:sub>
                                <m:r>
                                  <a:rPr lang="ru-RU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светофора вкл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∗ </m:t>
                            </m:r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𝑡</m:t>
                                </m:r>
                              </m:e>
                              <m:sub>
                                <m:r>
                                  <a:rPr lang="ru-RU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реакции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f>
                              <m:f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𝐿</m:t>
                                </m:r>
                              </m:num>
                              <m:den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𝑎</m:t>
                                </m:r>
                              </m:den>
                            </m:f>
                          </m:e>
                        </m:d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100" b="0" i="1">
                        <a:latin typeface="Cambria Math" panose="02040503050406030204" pitchFamily="18" charset="0"/>
                      </a:rPr>
                      <m:t>−4∗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e>
                          <m:sub>
                            <m:r>
                              <a:rPr lang="ru-RU" sz="1100" b="0" i="1">
                                <a:latin typeface="Cambria Math" panose="02040503050406030204" pitchFamily="18" charset="0"/>
                              </a:rPr>
                              <m:t>реакции</m:t>
                            </m:r>
                          </m:sub>
                        </m:sSub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100" b="0" i="1">
                        <a:latin typeface="Cambria Math" panose="02040503050406030204" pitchFamily="18" charset="0"/>
                      </a:rPr>
                      <m:t>∗</m:t>
                    </m:r>
                    <m:sSubSup>
                      <m:sSub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светофора вкл</m:t>
                        </m:r>
                      </m:sub>
                      <m:sup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A202413F-EA78-40EC-9773-45F3E5FD7CFA}"/>
                </a:ext>
              </a:extLst>
            </xdr:cNvPr>
            <xdr:cNvSpPr txBox="1"/>
          </xdr:nvSpPr>
          <xdr:spPr>
            <a:xfrm>
              <a:off x="2044142" y="4164495"/>
              <a:ext cx="4324645" cy="4138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𝐷</a:t>
              </a:r>
              <a:r>
                <a:rPr lang="en-US" sz="1100" b="0" i="0">
                  <a:latin typeface="Cambria Math" panose="02040503050406030204" pitchFamily="18" charset="0"/>
                </a:rPr>
                <a:t>=−(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𝑡_(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светофора вкл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)∗ 𝑡_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реакции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+2𝐿/𝑎)^</a:t>
              </a:r>
              <a:r>
                <a:rPr lang="en-US" sz="1100" b="0" i="0">
                  <a:latin typeface="Cambria Math" panose="02040503050406030204" pitchFamily="18" charset="0"/>
                </a:rPr>
                <a:t>2−4∗〖𝑡_</a:t>
              </a:r>
              <a:r>
                <a:rPr lang="ru-RU" sz="1100" b="0" i="0">
                  <a:latin typeface="Cambria Math" panose="02040503050406030204" pitchFamily="18" charset="0"/>
                </a:rPr>
                <a:t>реакции</a:t>
              </a:r>
              <a:r>
                <a:rPr lang="en-US" sz="1100" b="0" i="0">
                  <a:latin typeface="Cambria Math" panose="02040503050406030204" pitchFamily="18" charset="0"/>
                </a:rPr>
                <a:t>〗^2∗𝑡_(</a:t>
              </a:r>
              <a:r>
                <a:rPr lang="ru-RU" sz="1100" b="0" i="0">
                  <a:latin typeface="Cambria Math" panose="02040503050406030204" pitchFamily="18" charset="0"/>
                </a:rPr>
                <a:t>светофора вкл</a:t>
              </a:r>
              <a:r>
                <a:rPr lang="en-US" sz="1100" b="0" i="0">
                  <a:latin typeface="Cambria Math" panose="02040503050406030204" pitchFamily="18" charset="0"/>
                </a:rPr>
                <a:t>)</a:t>
              </a:r>
              <a:r>
                <a:rPr lang="ru-RU" sz="1100" b="0" i="0">
                  <a:latin typeface="Cambria Math" panose="02040503050406030204" pitchFamily="18" charset="0"/>
                </a:rPr>
                <a:t>^2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</xdr:col>
      <xdr:colOff>639417</xdr:colOff>
      <xdr:row>28</xdr:row>
      <xdr:rowOff>84482</xdr:rowOff>
    </xdr:from>
    <xdr:ext cx="457625" cy="18473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4AB23AD1-ED0D-4D03-A02C-CDCF942199D1}"/>
                </a:ext>
              </a:extLst>
            </xdr:cNvPr>
            <xdr:cNvSpPr txBox="1"/>
          </xdr:nvSpPr>
          <xdr:spPr>
            <a:xfrm>
              <a:off x="1343439" y="3770243"/>
              <a:ext cx="457625" cy="1847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</m:e>
                      <m:sub>
                        <m:r>
                          <a:rPr lang="ru-RU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разгона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4AB23AD1-ED0D-4D03-A02C-CDCF942199D1}"/>
                </a:ext>
              </a:extLst>
            </xdr:cNvPr>
            <xdr:cNvSpPr txBox="1"/>
          </xdr:nvSpPr>
          <xdr:spPr>
            <a:xfrm>
              <a:off x="1343439" y="3770243"/>
              <a:ext cx="457625" cy="1847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𝑡_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разгона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3</xdr:col>
      <xdr:colOff>611255</xdr:colOff>
      <xdr:row>15</xdr:row>
      <xdr:rowOff>31473</xdr:rowOff>
    </xdr:from>
    <xdr:ext cx="3030253" cy="5001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D7586733-E01B-47DA-95BF-52192D908CE8}"/>
                </a:ext>
              </a:extLst>
            </xdr:cNvPr>
            <xdr:cNvSpPr txBox="1"/>
          </xdr:nvSpPr>
          <xdr:spPr>
            <a:xfrm>
              <a:off x="2632212" y="2574234"/>
              <a:ext cx="3030253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первой на макс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 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𝐾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ru-RU" sz="1100" b="0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ru-RU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1 сек)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+</m:t>
                    </m:r>
                    <m:rad>
                      <m:radPr>
                        <m:degHide m:val="on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2∗(</m:t>
                            </m:r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𝐾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∗</m:t>
                            </m:r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𝐿</m:t>
                                </m:r>
                              </m:e>
                              <m:sub>
                                <m:r>
                                  <a:rPr lang="ru-RU" sz="1100" b="0" i="1">
                                    <a:latin typeface="Cambria Math" panose="02040503050406030204" pitchFamily="18" charset="0"/>
                                  </a:rPr>
                                  <m:t>машины</m:t>
                                </m:r>
                              </m:sub>
                            </m:s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)</m:t>
                            </m:r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den>
                        </m:f>
                      </m:e>
                    </m:rad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D7586733-E01B-47DA-95BF-52192D908CE8}"/>
                </a:ext>
              </a:extLst>
            </xdr:cNvPr>
            <xdr:cNvSpPr txBox="1"/>
          </xdr:nvSpPr>
          <xdr:spPr>
            <a:xfrm>
              <a:off x="2632212" y="2574234"/>
              <a:ext cx="3030253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𝑡</a:t>
              </a:r>
              <a:r>
                <a:rPr lang="ru-RU" sz="1100" b="0" i="0">
                  <a:latin typeface="Cambria Math" panose="02040503050406030204" pitchFamily="18" charset="0"/>
                </a:rPr>
                <a:t>_(первой на макс)</a:t>
              </a:r>
              <a:r>
                <a:rPr lang="en-US" sz="1100" b="0" i="0">
                  <a:latin typeface="Cambria Math" panose="02040503050406030204" pitchFamily="18" charset="0"/>
                </a:rPr>
                <a:t>= 〖</a:t>
              </a:r>
              <a:r>
                <a:rPr lang="ru-RU" sz="1100" b="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𝐾〗_𝑖</a:t>
              </a:r>
              <a:r>
                <a:rPr lang="ru-RU" sz="1100" b="0" i="0">
                  <a:latin typeface="Cambria Math" panose="02040503050406030204" pitchFamily="18" charset="0"/>
                </a:rPr>
                <a:t>∗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 сек)</a:t>
              </a:r>
              <a:r>
                <a:rPr lang="en-US" sz="1100" b="0" i="0">
                  <a:latin typeface="Cambria Math" panose="02040503050406030204" pitchFamily="18" charset="0"/>
                </a:rPr>
                <a:t>+√((2∗(𝐾_𝑖∗𝐿_</a:t>
              </a:r>
              <a:r>
                <a:rPr lang="ru-RU" sz="1100" b="0" i="0">
                  <a:latin typeface="Cambria Math" panose="02040503050406030204" pitchFamily="18" charset="0"/>
                </a:rPr>
                <a:t>машины</a:t>
              </a:r>
              <a:r>
                <a:rPr lang="en-US" sz="1100" b="0" i="0">
                  <a:latin typeface="Cambria Math" panose="02040503050406030204" pitchFamily="18" charset="0"/>
                </a:rPr>
                <a:t>))/𝑎)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5</xdr:col>
      <xdr:colOff>387622</xdr:colOff>
      <xdr:row>18</xdr:row>
      <xdr:rowOff>106017</xdr:rowOff>
    </xdr:from>
    <xdr:ext cx="1068947" cy="36144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B8BCA86C-53E5-BCBB-DA78-C243A2DD0D08}"/>
                </a:ext>
              </a:extLst>
            </xdr:cNvPr>
            <xdr:cNvSpPr txBox="1"/>
          </xdr:nvSpPr>
          <xdr:spPr>
            <a:xfrm>
              <a:off x="3634405" y="3452191"/>
              <a:ext cx="1068947" cy="36144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𝑘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e>
                          <m:sub>
                            <m:r>
                              <a:rPr lang="ru-RU" sz="1100" b="0" i="1">
                                <a:latin typeface="Cambria Math" panose="02040503050406030204" pitchFamily="18" charset="0"/>
                              </a:rPr>
                              <m:t>светофора вкл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e>
                          <m:sub>
                            <m:r>
                              <a:rPr lang="ru-RU" sz="1100" b="0" i="1">
                                <a:latin typeface="Cambria Math" panose="02040503050406030204" pitchFamily="18" charset="0"/>
                              </a:rPr>
                              <m:t>первой на макс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B8BCA86C-53E5-BCBB-DA78-C243A2DD0D08}"/>
                </a:ext>
              </a:extLst>
            </xdr:cNvPr>
            <xdr:cNvSpPr txBox="1"/>
          </xdr:nvSpPr>
          <xdr:spPr>
            <a:xfrm>
              <a:off x="3634405" y="3452191"/>
              <a:ext cx="1068947" cy="36144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𝑘=𝑡_(</a:t>
              </a:r>
              <a:r>
                <a:rPr lang="ru-RU" sz="1100" b="0" i="0">
                  <a:latin typeface="Cambria Math" panose="02040503050406030204" pitchFamily="18" charset="0"/>
                </a:rPr>
                <a:t>светофора вкл</a:t>
              </a:r>
              <a:r>
                <a:rPr lang="en-US" sz="1100" b="0" i="0">
                  <a:latin typeface="Cambria Math" panose="02040503050406030204" pitchFamily="18" charset="0"/>
                </a:rPr>
                <a:t>)/𝑡_(</a:t>
              </a:r>
              <a:r>
                <a:rPr lang="ru-RU" sz="1100" b="0" i="0">
                  <a:latin typeface="Cambria Math" panose="02040503050406030204" pitchFamily="18" charset="0"/>
                </a:rPr>
                <a:t>первой на макс</a:t>
              </a:r>
              <a:r>
                <a:rPr lang="en-US" sz="1100" b="0" i="0">
                  <a:latin typeface="Cambria Math" panose="02040503050406030204" pitchFamily="18" charset="0"/>
                </a:rPr>
                <a:t>)</a:t>
              </a:r>
              <a:r>
                <a:rPr lang="ru-RU" sz="1100" b="0" i="0">
                  <a:latin typeface="Cambria Math" panose="02040503050406030204" pitchFamily="18" charset="0"/>
                </a:rPr>
                <a:t> 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5</xdr:col>
      <xdr:colOff>523461</xdr:colOff>
      <xdr:row>0</xdr:row>
      <xdr:rowOff>177249</xdr:rowOff>
    </xdr:from>
    <xdr:ext cx="847476" cy="18479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5E84E72-CE3B-4570-9FDD-5454F2D3E00F}"/>
                </a:ext>
              </a:extLst>
            </xdr:cNvPr>
            <xdr:cNvSpPr txBox="1"/>
          </xdr:nvSpPr>
          <xdr:spPr>
            <a:xfrm>
              <a:off x="3770244" y="177249"/>
              <a:ext cx="847476" cy="18479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светофора выкл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5E84E72-CE3B-4570-9FDD-5454F2D3E00F}"/>
                </a:ext>
              </a:extLst>
            </xdr:cNvPr>
            <xdr:cNvSpPr txBox="1"/>
          </xdr:nvSpPr>
          <xdr:spPr>
            <a:xfrm>
              <a:off x="3770244" y="177249"/>
              <a:ext cx="847476" cy="18479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𝑡</a:t>
              </a:r>
              <a:r>
                <a:rPr lang="ru-RU" sz="1100" b="0" i="0">
                  <a:latin typeface="Cambria Math" panose="02040503050406030204" pitchFamily="18" charset="0"/>
                </a:rPr>
                <a:t>_(светофора выкл)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16</xdr:col>
      <xdr:colOff>188847</xdr:colOff>
      <xdr:row>0</xdr:row>
      <xdr:rowOff>89454</xdr:rowOff>
    </xdr:from>
    <xdr:ext cx="2445541" cy="38561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F2B8C9E7-FE2B-73B9-0A1F-FE41D20FB8F4}"/>
                </a:ext>
              </a:extLst>
            </xdr:cNvPr>
            <xdr:cNvSpPr txBox="1"/>
          </xdr:nvSpPr>
          <xdr:spPr>
            <a:xfrm>
              <a:off x="11072195" y="89454"/>
              <a:ext cx="2445541" cy="38561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𝜇</m:t>
                    </m:r>
                    <m:r>
                      <a:rPr lang="ru-RU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ru-RU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ru-RU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ru-RU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3600</m:t>
                            </m:r>
                          </m:num>
                          <m:den>
                            <m:sSub>
                              <m:sSubPr>
                                <m:ctrlPr>
                                  <a:rPr lang="ru-RU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𝑡</m:t>
                                </m:r>
                              </m:e>
                              <m:sub>
                                <m:r>
                                  <a:rPr lang="ru-RU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светофора вкл</m:t>
                                </m:r>
                              </m:sub>
                            </m:sSub>
                            <m:r>
                              <a:rPr lang="ru-RU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+ </m:t>
                            </m:r>
                            <m:sSub>
                              <m:sSubPr>
                                <m:ctrlPr>
                                  <a:rPr lang="ru-RU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𝑡</m:t>
                                </m:r>
                              </m:e>
                              <m:sub>
                                <m:r>
                                  <a:rPr lang="ru-RU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светофора выкл</m:t>
                                </m:r>
                              </m:sub>
                            </m:sSub>
                          </m:den>
                        </m:f>
                      </m:e>
                    </m:d>
                    <m:r>
                      <a:rPr lang="ru-RU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∗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F2B8C9E7-FE2B-73B9-0A1F-FE41D20FB8F4}"/>
                </a:ext>
              </a:extLst>
            </xdr:cNvPr>
            <xdr:cNvSpPr txBox="1"/>
          </xdr:nvSpPr>
          <xdr:spPr>
            <a:xfrm>
              <a:off x="11072195" y="89454"/>
              <a:ext cx="2445541" cy="38561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=(3600/(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𝑡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_(светофора вкл)+ 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𝑡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_(светофора выкл) ))∗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𝐾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17</xdr:col>
      <xdr:colOff>586411</xdr:colOff>
      <xdr:row>5</xdr:row>
      <xdr:rowOff>39756</xdr:rowOff>
    </xdr:from>
    <xdr:ext cx="409151" cy="34573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28A6066F-F52D-5193-0224-B7E634486118}"/>
                </a:ext>
              </a:extLst>
            </xdr:cNvPr>
            <xdr:cNvSpPr txBox="1"/>
          </xdr:nvSpPr>
          <xdr:spPr>
            <a:xfrm>
              <a:off x="12082672" y="1017104"/>
              <a:ext cx="409151" cy="3457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𝜌</m:t>
                    </m:r>
                    <m:r>
                      <a:rPr lang="ru-RU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ru-RU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l-GR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λ</m:t>
                        </m:r>
                      </m:num>
                      <m:den>
                        <m:r>
                          <a:rPr lang="ru-RU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𝜇</m:t>
                        </m:r>
                      </m:den>
                    </m:f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28A6066F-F52D-5193-0224-B7E634486118}"/>
                </a:ext>
              </a:extLst>
            </xdr:cNvPr>
            <xdr:cNvSpPr txBox="1"/>
          </xdr:nvSpPr>
          <xdr:spPr>
            <a:xfrm>
              <a:off x="12082672" y="1017104"/>
              <a:ext cx="409151" cy="3457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𝜌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 </a:t>
              </a:r>
              <a:r>
                <a:rPr lang="el-G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"λ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" /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17</xdr:col>
      <xdr:colOff>404194</xdr:colOff>
      <xdr:row>7</xdr:row>
      <xdr:rowOff>130864</xdr:rowOff>
    </xdr:from>
    <xdr:ext cx="798039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1420A006-83DA-B4C6-C291-698F13887B00}"/>
                </a:ext>
              </a:extLst>
            </xdr:cNvPr>
            <xdr:cNvSpPr txBox="1"/>
          </xdr:nvSpPr>
          <xdr:spPr>
            <a:xfrm>
              <a:off x="11900455" y="1530625"/>
              <a:ext cx="79803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=(1−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𝜌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1420A006-83DA-B4C6-C291-698F13887B00}"/>
                </a:ext>
              </a:extLst>
            </xdr:cNvPr>
            <xdr:cNvSpPr txBox="1"/>
          </xdr:nvSpPr>
          <xdr:spPr>
            <a:xfrm>
              <a:off x="11900455" y="1530625"/>
              <a:ext cx="79803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𝑃</a:t>
              </a:r>
              <a:r>
                <a:rPr lang="ru-RU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0=(1−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𝜌</a:t>
              </a:r>
              <a:r>
                <a:rPr lang="en-US" sz="1100" b="0" i="0">
                  <a:latin typeface="Cambria Math" panose="02040503050406030204" pitchFamily="18" charset="0"/>
                </a:rPr>
                <a:t>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17</xdr:col>
      <xdr:colOff>437322</xdr:colOff>
      <xdr:row>9</xdr:row>
      <xdr:rowOff>31474</xdr:rowOff>
    </xdr:from>
    <xdr:ext cx="896015" cy="31848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6F66455C-8058-7F1C-74D9-60443E8AD14A}"/>
                </a:ext>
              </a:extLst>
            </xdr:cNvPr>
            <xdr:cNvSpPr txBox="1"/>
          </xdr:nvSpPr>
          <xdr:spPr>
            <a:xfrm>
              <a:off x="11933583" y="1853648"/>
              <a:ext cx="896015" cy="3184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сист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𝜌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𝜌</m:t>
                        </m:r>
                      </m:den>
                    </m:f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6F66455C-8058-7F1C-74D9-60443E8AD14A}"/>
                </a:ext>
              </a:extLst>
            </xdr:cNvPr>
            <xdr:cNvSpPr txBox="1"/>
          </xdr:nvSpPr>
          <xdr:spPr>
            <a:xfrm>
              <a:off x="11933583" y="1853648"/>
              <a:ext cx="896015" cy="3184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𝑀_</a:t>
              </a:r>
              <a:r>
                <a:rPr lang="ru-RU" sz="1100" b="0" i="0">
                  <a:latin typeface="Cambria Math" panose="02040503050406030204" pitchFamily="18" charset="0"/>
                </a:rPr>
                <a:t>сист</a:t>
              </a:r>
              <a:r>
                <a:rPr lang="en-US" sz="1100" b="0" i="0">
                  <a:latin typeface="Cambria Math" panose="02040503050406030204" pitchFamily="18" charset="0"/>
                </a:rPr>
                <a:t>= 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𝜌/(</a:t>
              </a:r>
              <a:r>
                <a:rPr lang="en-US" sz="1100" b="0" i="0">
                  <a:latin typeface="Cambria Math" panose="02040503050406030204" pitchFamily="18" charset="0"/>
                </a:rPr>
                <a:t>1−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𝜌)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17</xdr:col>
      <xdr:colOff>362781</xdr:colOff>
      <xdr:row>11</xdr:row>
      <xdr:rowOff>14908</xdr:rowOff>
    </xdr:from>
    <xdr:ext cx="957442" cy="34804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56B98A3-41B7-DC69-0912-F5EEAA64045F}"/>
                </a:ext>
              </a:extLst>
            </xdr:cNvPr>
            <xdr:cNvSpPr txBox="1"/>
          </xdr:nvSpPr>
          <xdr:spPr>
            <a:xfrm>
              <a:off x="11859042" y="2218082"/>
              <a:ext cx="957442" cy="3480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об</m:t>
                        </m:r>
                      </m:sub>
                    </m:sSub>
                    <m:r>
                      <a:rPr lang="ru-RU" sz="1100" b="0" i="1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ru-RU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ru-RU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𝜇</m:t>
                        </m:r>
                        <m:r>
                          <a:rPr lang="ru-RU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(1−</m:t>
                        </m:r>
                        <m:r>
                          <a:rPr lang="ru-RU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𝜌</m:t>
                        </m:r>
                        <m:r>
                          <a:rPr lang="ru-RU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56B98A3-41B7-DC69-0912-F5EEAA64045F}"/>
                </a:ext>
              </a:extLst>
            </xdr:cNvPr>
            <xdr:cNvSpPr txBox="1"/>
          </xdr:nvSpPr>
          <xdr:spPr>
            <a:xfrm>
              <a:off x="11859042" y="2218082"/>
              <a:ext cx="957442" cy="3480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𝑇</a:t>
              </a:r>
              <a:r>
                <a:rPr lang="ru-RU" sz="1100" b="0" i="0">
                  <a:latin typeface="Cambria Math" panose="02040503050406030204" pitchFamily="18" charset="0"/>
                </a:rPr>
                <a:t>_об=  1/(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𝜇(1−𝜌))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17</xdr:col>
      <xdr:colOff>424071</xdr:colOff>
      <xdr:row>13</xdr:row>
      <xdr:rowOff>18222</xdr:rowOff>
    </xdr:from>
    <xdr:ext cx="801117" cy="3683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28BA9CBA-1905-4C3D-A13D-32DC26F48C7D}"/>
                </a:ext>
              </a:extLst>
            </xdr:cNvPr>
            <xdr:cNvSpPr txBox="1"/>
          </xdr:nvSpPr>
          <xdr:spPr>
            <a:xfrm>
              <a:off x="11920332" y="2602396"/>
              <a:ext cx="801117" cy="3683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оч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𝜌</m:t>
                            </m:r>
                          </m:e>
                          <m:sup>
                            <m:r>
                              <a:rPr lang="ru-RU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𝜌</m:t>
                        </m:r>
                      </m:den>
                    </m:f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28BA9CBA-1905-4C3D-A13D-32DC26F48C7D}"/>
                </a:ext>
              </a:extLst>
            </xdr:cNvPr>
            <xdr:cNvSpPr txBox="1"/>
          </xdr:nvSpPr>
          <xdr:spPr>
            <a:xfrm>
              <a:off x="11920332" y="2602396"/>
              <a:ext cx="801117" cy="3683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𝑀_</a:t>
              </a:r>
              <a:r>
                <a:rPr lang="ru-RU" sz="1100" b="0" i="0">
                  <a:latin typeface="Cambria Math" panose="02040503050406030204" pitchFamily="18" charset="0"/>
                </a:rPr>
                <a:t>оч</a:t>
              </a:r>
              <a:r>
                <a:rPr lang="en-US" sz="1100" b="0" i="0">
                  <a:latin typeface="Cambria Math" panose="02040503050406030204" pitchFamily="18" charset="0"/>
                </a:rPr>
                <a:t>=  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𝜌^</a:t>
              </a:r>
              <a:r>
                <a:rPr lang="ru-RU" sz="1100" b="0" i="0">
                  <a:latin typeface="Cambria Math" panose="02040503050406030204" pitchFamily="18" charset="0"/>
                </a:rPr>
                <a:t>2</a:t>
              </a:r>
              <a:r>
                <a:rPr lang="en-US" sz="1100" b="0" i="0">
                  <a:latin typeface="Cambria Math" panose="02040503050406030204" pitchFamily="18" charset="0"/>
                </a:rPr>
                <a:t>/(1−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𝜌)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6</xdr:col>
      <xdr:colOff>122582</xdr:colOff>
      <xdr:row>2</xdr:row>
      <xdr:rowOff>180561</xdr:rowOff>
    </xdr:from>
    <xdr:ext cx="484748" cy="18473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D7795874-B369-329A-09DD-57B3BF94B935}"/>
                </a:ext>
              </a:extLst>
            </xdr:cNvPr>
            <xdr:cNvSpPr txBox="1"/>
          </xdr:nvSpPr>
          <xdr:spPr>
            <a:xfrm>
              <a:off x="3982278" y="561561"/>
              <a:ext cx="484748" cy="1847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реакции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D7795874-B369-329A-09DD-57B3BF94B935}"/>
                </a:ext>
              </a:extLst>
            </xdr:cNvPr>
            <xdr:cNvSpPr txBox="1"/>
          </xdr:nvSpPr>
          <xdr:spPr>
            <a:xfrm>
              <a:off x="3982278" y="561561"/>
              <a:ext cx="484748" cy="1847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𝑡</a:t>
              </a:r>
              <a:r>
                <a:rPr lang="ru-RU" sz="1100" b="0" i="0">
                  <a:latin typeface="Cambria Math" panose="02040503050406030204" pitchFamily="18" charset="0"/>
                </a:rPr>
                <a:t>_реакции</a:t>
              </a:r>
              <a:endParaRPr lang="ru-RU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7"/>
  <sheetViews>
    <sheetView tabSelected="1" zoomScale="115" zoomScaleNormal="115" workbookViewId="0">
      <selection activeCell="L11" sqref="L11"/>
    </sheetView>
  </sheetViews>
  <sheetFormatPr defaultRowHeight="15" x14ac:dyDescent="0.25"/>
  <cols>
    <col min="1" max="2" width="10.5703125" customWidth="1"/>
    <col min="4" max="4" width="9.140625" customWidth="1"/>
    <col min="10" max="10" width="10.42578125" customWidth="1"/>
    <col min="11" max="11" width="10.85546875" bestFit="1" customWidth="1"/>
    <col min="14" max="14" width="21" customWidth="1"/>
    <col min="19" max="19" width="14.7109375" customWidth="1"/>
  </cols>
  <sheetData>
    <row r="1" spans="1:23" x14ac:dyDescent="0.25">
      <c r="A1" s="30" t="s">
        <v>0</v>
      </c>
      <c r="B1" s="30"/>
      <c r="C1" s="31"/>
      <c r="D1" s="35"/>
      <c r="E1" s="35"/>
      <c r="F1" s="35"/>
      <c r="G1" s="35"/>
      <c r="H1" s="35"/>
      <c r="I1" s="35"/>
      <c r="J1" s="35"/>
      <c r="K1" s="5">
        <v>15</v>
      </c>
      <c r="N1" s="14" t="s">
        <v>34</v>
      </c>
      <c r="O1" s="14"/>
      <c r="P1" s="14"/>
      <c r="Q1" s="11"/>
      <c r="R1" s="11"/>
      <c r="S1" s="11"/>
      <c r="T1" s="11"/>
      <c r="U1" s="8">
        <f>IF(K25="-",(3600/(K1+K2))*K28,(3600/(K1+K2))*K25)</f>
        <v>407.33384694432129</v>
      </c>
    </row>
    <row r="2" spans="1:23" x14ac:dyDescent="0.25">
      <c r="A2" s="22" t="s">
        <v>33</v>
      </c>
      <c r="B2" s="22"/>
      <c r="C2" s="22"/>
      <c r="D2" s="11"/>
      <c r="E2" s="11"/>
      <c r="F2" s="11"/>
      <c r="G2" s="11"/>
      <c r="H2" s="11"/>
      <c r="I2" s="11"/>
      <c r="J2" s="11"/>
      <c r="K2" s="3">
        <v>60</v>
      </c>
      <c r="N2" s="14"/>
      <c r="O2" s="14"/>
      <c r="P2" s="14"/>
      <c r="Q2" s="11"/>
      <c r="R2" s="11"/>
      <c r="S2" s="11"/>
      <c r="T2" s="11"/>
      <c r="U2" s="8"/>
    </row>
    <row r="3" spans="1:23" ht="15" customHeight="1" x14ac:dyDescent="0.25">
      <c r="A3" s="31" t="s">
        <v>1</v>
      </c>
      <c r="B3" s="22"/>
      <c r="C3" s="52"/>
      <c r="D3" s="18" t="s">
        <v>26</v>
      </c>
      <c r="E3" s="19"/>
      <c r="F3" s="19"/>
      <c r="G3" s="19"/>
      <c r="H3" s="19"/>
      <c r="I3" s="19"/>
      <c r="J3" s="20"/>
      <c r="K3" s="6">
        <v>2</v>
      </c>
      <c r="N3" s="14"/>
      <c r="O3" s="14"/>
      <c r="P3" s="14"/>
      <c r="Q3" s="11"/>
      <c r="R3" s="11"/>
      <c r="S3" s="11"/>
      <c r="T3" s="11"/>
      <c r="U3" s="8"/>
    </row>
    <row r="4" spans="1:23" ht="15.75" customHeight="1" x14ac:dyDescent="0.25">
      <c r="A4" s="31" t="s">
        <v>43</v>
      </c>
      <c r="B4" s="22"/>
      <c r="C4" s="52"/>
      <c r="D4" s="18"/>
      <c r="E4" s="19"/>
      <c r="F4" s="19"/>
      <c r="G4" s="19"/>
      <c r="H4" s="19"/>
      <c r="I4" s="19"/>
      <c r="J4" s="20"/>
      <c r="K4" s="6">
        <v>1</v>
      </c>
      <c r="N4" s="12" t="s">
        <v>35</v>
      </c>
      <c r="O4" s="12"/>
      <c r="P4" s="12"/>
      <c r="Q4" s="9" t="s">
        <v>36</v>
      </c>
      <c r="R4" s="8"/>
      <c r="S4" s="8"/>
      <c r="T4" s="8"/>
      <c r="U4" s="8">
        <v>700</v>
      </c>
    </row>
    <row r="5" spans="1:23" ht="16.5" customHeight="1" x14ac:dyDescent="0.25">
      <c r="A5" s="53" t="s">
        <v>23</v>
      </c>
      <c r="B5" s="53"/>
      <c r="C5" s="54"/>
      <c r="D5" s="57"/>
      <c r="E5" s="58"/>
      <c r="F5" s="58"/>
      <c r="G5" s="58"/>
      <c r="H5" s="58"/>
      <c r="I5" s="58"/>
      <c r="J5" s="59"/>
      <c r="K5" s="8">
        <v>70</v>
      </c>
      <c r="L5" s="8">
        <f>K5/3.6</f>
        <v>19.444444444444443</v>
      </c>
      <c r="N5" s="12"/>
      <c r="O5" s="12"/>
      <c r="P5" s="12"/>
      <c r="Q5" s="8"/>
      <c r="R5" s="8"/>
      <c r="S5" s="8"/>
      <c r="T5" s="8"/>
      <c r="U5" s="8"/>
    </row>
    <row r="6" spans="1:23" ht="17.25" customHeight="1" x14ac:dyDescent="0.25">
      <c r="A6" s="55"/>
      <c r="B6" s="55"/>
      <c r="C6" s="56"/>
      <c r="D6" s="60"/>
      <c r="E6" s="61"/>
      <c r="F6" s="61"/>
      <c r="G6" s="61"/>
      <c r="H6" s="61"/>
      <c r="I6" s="61"/>
      <c r="J6" s="62"/>
      <c r="K6" s="8"/>
      <c r="L6" s="8"/>
      <c r="N6" s="10" t="s">
        <v>37</v>
      </c>
      <c r="O6" s="10"/>
      <c r="P6" s="10"/>
      <c r="Q6" s="11"/>
      <c r="R6" s="11"/>
      <c r="S6" s="11"/>
      <c r="T6" s="11"/>
      <c r="U6" s="8">
        <f>U4/U1</f>
        <v>1.7184921048205537</v>
      </c>
    </row>
    <row r="7" spans="1:23" ht="16.5" customHeight="1" x14ac:dyDescent="0.25">
      <c r="A7" s="36" t="s">
        <v>22</v>
      </c>
      <c r="B7" s="36"/>
      <c r="C7" s="36"/>
      <c r="D7" s="9" t="s">
        <v>5</v>
      </c>
      <c r="E7" s="9"/>
      <c r="F7" s="9"/>
      <c r="G7" s="9"/>
      <c r="H7" s="9"/>
      <c r="I7" s="9"/>
      <c r="J7" s="9"/>
      <c r="K7" s="25">
        <v>5</v>
      </c>
      <c r="N7" s="10"/>
      <c r="O7" s="10"/>
      <c r="P7" s="10"/>
      <c r="Q7" s="11"/>
      <c r="R7" s="11"/>
      <c r="S7" s="11"/>
      <c r="T7" s="11"/>
      <c r="U7" s="8"/>
    </row>
    <row r="8" spans="1:23" ht="15" customHeight="1" x14ac:dyDescent="0.25">
      <c r="A8" s="36"/>
      <c r="B8" s="36"/>
      <c r="C8" s="36"/>
      <c r="D8" s="9"/>
      <c r="E8" s="9"/>
      <c r="F8" s="9"/>
      <c r="G8" s="9"/>
      <c r="H8" s="9"/>
      <c r="I8" s="9"/>
      <c r="J8" s="9"/>
      <c r="K8" s="8"/>
      <c r="N8" s="12" t="s">
        <v>38</v>
      </c>
      <c r="O8" s="12"/>
      <c r="P8" s="12"/>
      <c r="Q8" s="11"/>
      <c r="R8" s="11"/>
      <c r="S8" s="11"/>
      <c r="T8" s="11"/>
      <c r="U8" s="8" t="str">
        <f>IF(U6&lt;1,1-U6,"P→ထ")</f>
        <v>P→ထ</v>
      </c>
    </row>
    <row r="9" spans="1:23" ht="18" customHeight="1" x14ac:dyDescent="0.25">
      <c r="A9" s="26" t="s">
        <v>24</v>
      </c>
      <c r="B9" s="26"/>
      <c r="C9" s="27"/>
      <c r="D9" s="43"/>
      <c r="E9" s="44"/>
      <c r="F9" s="44"/>
      <c r="G9" s="44"/>
      <c r="H9" s="44"/>
      <c r="I9" s="44"/>
      <c r="J9" s="45"/>
      <c r="K9" s="8">
        <f>(L5-0)/2</f>
        <v>9.7222222222222214</v>
      </c>
      <c r="N9" s="12"/>
      <c r="O9" s="12"/>
      <c r="P9" s="12"/>
      <c r="Q9" s="11"/>
      <c r="R9" s="11"/>
      <c r="S9" s="11"/>
      <c r="T9" s="11"/>
      <c r="U9" s="8"/>
    </row>
    <row r="10" spans="1:23" x14ac:dyDescent="0.25">
      <c r="A10" s="28"/>
      <c r="B10" s="28"/>
      <c r="C10" s="29"/>
      <c r="D10" s="49"/>
      <c r="E10" s="50"/>
      <c r="F10" s="50"/>
      <c r="G10" s="50"/>
      <c r="H10" s="50"/>
      <c r="I10" s="50"/>
      <c r="J10" s="51"/>
      <c r="K10" s="8"/>
      <c r="N10" s="12" t="s">
        <v>39</v>
      </c>
      <c r="O10" s="12"/>
      <c r="P10" s="12"/>
      <c r="Q10" s="11"/>
      <c r="R10" s="11"/>
      <c r="S10" s="11"/>
      <c r="T10" s="11"/>
      <c r="U10" s="13" t="str">
        <f>IF(U6&lt;1,U6/U8,"M→ထ")</f>
        <v>M→ထ</v>
      </c>
    </row>
    <row r="11" spans="1:23" ht="15" customHeight="1" x14ac:dyDescent="0.25">
      <c r="A11" s="38" t="s">
        <v>25</v>
      </c>
      <c r="B11" s="26"/>
      <c r="C11" s="27"/>
      <c r="D11" s="11"/>
      <c r="E11" s="11"/>
      <c r="F11" s="11"/>
      <c r="G11" s="11"/>
      <c r="H11" s="11"/>
      <c r="I11" s="11"/>
      <c r="J11" s="11"/>
      <c r="K11" s="8">
        <f>0*K9+((K3*(K9^2))/2)</f>
        <v>94.521604938271594</v>
      </c>
      <c r="N11" s="12"/>
      <c r="O11" s="12"/>
      <c r="P11" s="12"/>
      <c r="Q11" s="11"/>
      <c r="R11" s="11"/>
      <c r="S11" s="11"/>
      <c r="T11" s="11"/>
      <c r="U11" s="13"/>
    </row>
    <row r="12" spans="1:23" ht="15" customHeight="1" x14ac:dyDescent="0.25">
      <c r="A12" s="39"/>
      <c r="B12" s="40"/>
      <c r="C12" s="41"/>
      <c r="D12" s="11"/>
      <c r="E12" s="11"/>
      <c r="F12" s="11"/>
      <c r="G12" s="11"/>
      <c r="H12" s="11"/>
      <c r="I12" s="11"/>
      <c r="J12" s="11"/>
      <c r="K12" s="8"/>
      <c r="N12" s="12" t="s">
        <v>41</v>
      </c>
      <c r="O12" s="12"/>
      <c r="P12" s="12"/>
      <c r="Q12" s="11"/>
      <c r="R12" s="11"/>
      <c r="S12" s="11"/>
      <c r="T12" s="11"/>
      <c r="U12" s="8" t="str">
        <f>IF(U6&lt;1,1/(U1*(U8)),"Tоб→ထ")</f>
        <v>Tоб→ထ</v>
      </c>
      <c r="V12" s="8" t="str">
        <f>IF(U6&lt;1,U12*60,"-")</f>
        <v>-</v>
      </c>
      <c r="W12" s="8" t="e">
        <f>V12*60</f>
        <v>#VALUE!</v>
      </c>
    </row>
    <row r="13" spans="1:23" ht="15" customHeight="1" x14ac:dyDescent="0.25">
      <c r="A13" s="42"/>
      <c r="B13" s="28"/>
      <c r="C13" s="29"/>
      <c r="D13" s="11"/>
      <c r="E13" s="11"/>
      <c r="F13" s="11"/>
      <c r="G13" s="11"/>
      <c r="H13" s="11"/>
      <c r="I13" s="11"/>
      <c r="J13" s="11"/>
      <c r="K13" s="8"/>
      <c r="N13" s="12"/>
      <c r="O13" s="12"/>
      <c r="P13" s="12"/>
      <c r="Q13" s="11"/>
      <c r="R13" s="11"/>
      <c r="S13" s="11"/>
      <c r="T13" s="11"/>
      <c r="U13" s="8"/>
      <c r="V13" s="8"/>
      <c r="W13" s="8"/>
    </row>
    <row r="14" spans="1:23" ht="15" customHeight="1" x14ac:dyDescent="0.25">
      <c r="A14" s="26" t="s">
        <v>31</v>
      </c>
      <c r="B14" s="26"/>
      <c r="C14" s="26"/>
      <c r="D14" s="11"/>
      <c r="E14" s="11"/>
      <c r="F14" s="11"/>
      <c r="G14" s="11"/>
      <c r="H14" s="11"/>
      <c r="I14" s="11"/>
      <c r="J14" s="11"/>
      <c r="K14" s="8">
        <f>K11/K7+1</f>
        <v>19.904320987654319</v>
      </c>
      <c r="N14" s="10" t="s">
        <v>40</v>
      </c>
      <c r="O14" s="10"/>
      <c r="P14" s="10"/>
      <c r="Q14" s="11"/>
      <c r="R14" s="11"/>
      <c r="S14" s="11"/>
      <c r="T14" s="11"/>
      <c r="U14" s="8" t="str">
        <f>IF(U6&lt;1,(U6^2)/U8,"M→ထ")</f>
        <v>M→ထ</v>
      </c>
    </row>
    <row r="15" spans="1:23" ht="15" customHeight="1" x14ac:dyDescent="0.25">
      <c r="A15" s="28"/>
      <c r="B15" s="28"/>
      <c r="C15" s="28"/>
      <c r="D15" s="11"/>
      <c r="E15" s="11"/>
      <c r="F15" s="11"/>
      <c r="G15" s="11"/>
      <c r="H15" s="11"/>
      <c r="I15" s="11"/>
      <c r="J15" s="11"/>
      <c r="K15" s="8"/>
      <c r="N15" s="10"/>
      <c r="O15" s="10"/>
      <c r="P15" s="10"/>
      <c r="Q15" s="11"/>
      <c r="R15" s="11"/>
      <c r="S15" s="11"/>
      <c r="T15" s="11"/>
      <c r="U15" s="8"/>
    </row>
    <row r="16" spans="1:23" x14ac:dyDescent="0.25">
      <c r="A16" s="37" t="s">
        <v>30</v>
      </c>
      <c r="B16" s="37"/>
      <c r="C16" s="37"/>
      <c r="D16" s="11"/>
      <c r="E16" s="11"/>
      <c r="F16" s="11"/>
      <c r="G16" s="11"/>
      <c r="H16" s="11"/>
      <c r="I16" s="11"/>
      <c r="J16" s="11"/>
      <c r="K16" s="8">
        <f>K14+SQRT((2*(K14*K7))/K3)</f>
        <v>29.880372558204243</v>
      </c>
    </row>
    <row r="17" spans="1:16" x14ac:dyDescent="0.25">
      <c r="A17" s="37"/>
      <c r="B17" s="37"/>
      <c r="C17" s="37"/>
      <c r="D17" s="11"/>
      <c r="E17" s="11"/>
      <c r="F17" s="11"/>
      <c r="G17" s="11"/>
      <c r="H17" s="11"/>
      <c r="I17" s="11"/>
      <c r="J17" s="11"/>
      <c r="K17" s="8"/>
    </row>
    <row r="18" spans="1:16" x14ac:dyDescent="0.25">
      <c r="A18" s="37"/>
      <c r="B18" s="37"/>
      <c r="C18" s="37"/>
      <c r="D18" s="11"/>
      <c r="E18" s="11"/>
      <c r="F18" s="11"/>
      <c r="G18" s="11"/>
      <c r="H18" s="11"/>
      <c r="I18" s="11"/>
      <c r="J18" s="11"/>
      <c r="K18" s="8"/>
      <c r="O18" s="7" t="s">
        <v>46</v>
      </c>
      <c r="P18" s="7" t="s">
        <v>47</v>
      </c>
    </row>
    <row r="19" spans="1:16" x14ac:dyDescent="0.25">
      <c r="A19" s="37" t="s">
        <v>29</v>
      </c>
      <c r="B19" s="37"/>
      <c r="C19" s="37"/>
      <c r="D19" s="11"/>
      <c r="E19" s="11"/>
      <c r="F19" s="11"/>
      <c r="G19" s="11"/>
      <c r="H19" s="11"/>
      <c r="I19" s="11"/>
      <c r="J19" s="11"/>
      <c r="K19" s="8">
        <f>K1/K16</f>
        <v>0.50200177292908132</v>
      </c>
      <c r="N19" s="63" t="s">
        <v>44</v>
      </c>
      <c r="O19" s="8">
        <v>5</v>
      </c>
      <c r="P19" s="8">
        <f>(O19*K4)+SQRT((2*(O19*K7))/K3)</f>
        <v>10</v>
      </c>
    </row>
    <row r="20" spans="1:16" x14ac:dyDescent="0.25">
      <c r="A20" s="37"/>
      <c r="B20" s="37"/>
      <c r="C20" s="37"/>
      <c r="D20" s="11"/>
      <c r="E20" s="11"/>
      <c r="F20" s="11"/>
      <c r="G20" s="11"/>
      <c r="H20" s="11"/>
      <c r="I20" s="11"/>
      <c r="J20" s="11"/>
      <c r="K20" s="8"/>
      <c r="N20" s="63"/>
      <c r="O20" s="8"/>
      <c r="P20" s="8"/>
    </row>
    <row r="21" spans="1:16" x14ac:dyDescent="0.25">
      <c r="A21" s="37"/>
      <c r="B21" s="37"/>
      <c r="C21" s="37"/>
      <c r="D21" s="11"/>
      <c r="E21" s="11"/>
      <c r="F21" s="11"/>
      <c r="G21" s="11"/>
      <c r="H21" s="11"/>
      <c r="I21" s="11"/>
      <c r="J21" s="11"/>
      <c r="K21" s="8"/>
      <c r="N21" s="63" t="s">
        <v>45</v>
      </c>
      <c r="O21" s="8">
        <v>19</v>
      </c>
      <c r="P21" s="8">
        <f>(O21*K4)+(((O21*K7)-K11)/L5)+SQRT((2*K11)/K3)</f>
        <v>28.746825396825397</v>
      </c>
    </row>
    <row r="22" spans="1:16" x14ac:dyDescent="0.25">
      <c r="A22" s="36" t="s">
        <v>28</v>
      </c>
      <c r="B22" s="36"/>
      <c r="C22" s="36"/>
      <c r="D22" s="11"/>
      <c r="E22" s="11"/>
      <c r="F22" s="11"/>
      <c r="G22" s="11"/>
      <c r="H22" s="11"/>
      <c r="I22" s="11"/>
      <c r="J22" s="11"/>
      <c r="K22" s="8">
        <f>IF(K19&lt;= 1,(-((2*K1*K4)+((2*K7)/K3))^2)-4*(K4^2)*K1^2,"-")</f>
        <v>325</v>
      </c>
      <c r="N22" s="63"/>
      <c r="O22" s="8"/>
      <c r="P22" s="8"/>
    </row>
    <row r="23" spans="1:16" x14ac:dyDescent="0.25">
      <c r="A23" s="36"/>
      <c r="B23" s="36"/>
      <c r="C23" s="36"/>
      <c r="D23" s="11"/>
      <c r="E23" s="11"/>
      <c r="F23" s="11"/>
      <c r="G23" s="11"/>
      <c r="H23" s="11"/>
      <c r="I23" s="11"/>
      <c r="J23" s="11"/>
      <c r="K23" s="8"/>
    </row>
    <row r="24" spans="1:16" x14ac:dyDescent="0.25">
      <c r="A24" s="36"/>
      <c r="B24" s="36"/>
      <c r="C24" s="36"/>
      <c r="D24" s="11"/>
      <c r="E24" s="11"/>
      <c r="F24" s="11"/>
      <c r="G24" s="11"/>
      <c r="H24" s="11"/>
      <c r="I24" s="11"/>
      <c r="J24" s="11"/>
      <c r="K24" s="8"/>
    </row>
    <row r="25" spans="1:16" x14ac:dyDescent="0.25">
      <c r="A25" s="38" t="s">
        <v>27</v>
      </c>
      <c r="B25" s="26"/>
      <c r="C25" s="27"/>
      <c r="D25" s="43"/>
      <c r="E25" s="44"/>
      <c r="F25" s="44"/>
      <c r="G25" s="44"/>
      <c r="H25" s="44"/>
      <c r="I25" s="44"/>
      <c r="J25" s="45"/>
      <c r="K25" s="23">
        <f>IF(K19&lt;= 1,(((2*K1*K4)+((2*K7)/K3))-SQRT(K22))/(2*(K4^2)),"-")</f>
        <v>8.486121811340027</v>
      </c>
    </row>
    <row r="26" spans="1:16" x14ac:dyDescent="0.25">
      <c r="A26" s="39"/>
      <c r="B26" s="40"/>
      <c r="C26" s="41"/>
      <c r="D26" s="46"/>
      <c r="E26" s="47"/>
      <c r="F26" s="47"/>
      <c r="G26" s="47"/>
      <c r="H26" s="47"/>
      <c r="I26" s="47"/>
      <c r="J26" s="48"/>
      <c r="K26" s="24"/>
    </row>
    <row r="27" spans="1:16" x14ac:dyDescent="0.25">
      <c r="A27" s="42"/>
      <c r="B27" s="28"/>
      <c r="C27" s="29"/>
      <c r="D27" s="49"/>
      <c r="E27" s="50"/>
      <c r="F27" s="50"/>
      <c r="G27" s="50"/>
      <c r="H27" s="50"/>
      <c r="I27" s="50"/>
      <c r="J27" s="51"/>
      <c r="K27" s="25"/>
    </row>
    <row r="28" spans="1:16" x14ac:dyDescent="0.25">
      <c r="A28" s="36" t="s">
        <v>32</v>
      </c>
      <c r="B28" s="36"/>
      <c r="C28" s="36"/>
      <c r="D28" s="11"/>
      <c r="E28" s="11"/>
      <c r="F28" s="11"/>
      <c r="G28" s="11"/>
      <c r="H28" s="11"/>
      <c r="I28" s="11"/>
      <c r="J28" s="11"/>
      <c r="K28" s="8" t="str">
        <f>IF(K19&gt;1,((K1*L5)+K11-(L5*SQRT(((2*K11)/K3))))/(K7+(L5*K4)),"-")</f>
        <v>-</v>
      </c>
    </row>
    <row r="29" spans="1:16" x14ac:dyDescent="0.25">
      <c r="A29" s="36"/>
      <c r="B29" s="36"/>
      <c r="C29" s="36"/>
      <c r="D29" s="11"/>
      <c r="E29" s="11"/>
      <c r="F29" s="11"/>
      <c r="G29" s="11"/>
      <c r="H29" s="11"/>
      <c r="I29" s="11"/>
      <c r="J29" s="11"/>
      <c r="K29" s="8"/>
    </row>
    <row r="30" spans="1:16" x14ac:dyDescent="0.25">
      <c r="A30" s="36"/>
      <c r="B30" s="36"/>
      <c r="C30" s="36"/>
      <c r="D30" s="11"/>
      <c r="E30" s="11"/>
      <c r="F30" s="11"/>
      <c r="G30" s="11"/>
      <c r="H30" s="11"/>
      <c r="I30" s="11"/>
      <c r="J30" s="11"/>
      <c r="K30" s="8"/>
    </row>
    <row r="31" spans="1:16" x14ac:dyDescent="0.25">
      <c r="A31" s="36"/>
      <c r="B31" s="36"/>
      <c r="C31" s="36"/>
      <c r="D31" s="11"/>
      <c r="E31" s="11"/>
      <c r="F31" s="11"/>
      <c r="G31" s="11"/>
      <c r="H31" s="11"/>
      <c r="I31" s="11"/>
      <c r="J31" s="11"/>
      <c r="K31" s="8"/>
    </row>
    <row r="32" spans="1:16" ht="15" customHeight="1" x14ac:dyDescent="0.25">
      <c r="A32">
        <f>(A35*2)+SQRT((2*(A35*5))/K3)</f>
        <v>4.2360679774997898</v>
      </c>
      <c r="B32">
        <f>(B35*2)+SQRT((2*(B35*5))/$K$3)</f>
        <v>7.16227766016838</v>
      </c>
      <c r="C32">
        <f t="shared" ref="C32:H32" si="0">(C35*2)+SQRT((2*(C35*5))/$K$3)</f>
        <v>9.8729833462074161</v>
      </c>
      <c r="D32">
        <f t="shared" si="0"/>
        <v>12.47213595499958</v>
      </c>
      <c r="E32">
        <f t="shared" si="0"/>
        <v>15</v>
      </c>
      <c r="F32">
        <f t="shared" si="0"/>
        <v>17.477225575051662</v>
      </c>
      <c r="G32">
        <f t="shared" si="0"/>
        <v>19.916079783099615</v>
      </c>
      <c r="H32">
        <f t="shared" si="0"/>
        <v>22.32455532033676</v>
      </c>
    </row>
    <row r="33" spans="1:27" x14ac:dyDescent="0.25">
      <c r="A33">
        <f t="shared" ref="A33:Z33" si="1">A35*1+SQRT((2*($L$54)/$K$3))+((A36-$L$54)/$L$5)</f>
        <v>6.1182539682539678</v>
      </c>
      <c r="B33">
        <f t="shared" si="1"/>
        <v>7.375396825396825</v>
      </c>
      <c r="C33">
        <f t="shared" si="1"/>
        <v>8.632539682539683</v>
      </c>
      <c r="D33">
        <f t="shared" si="1"/>
        <v>9.8896825396825392</v>
      </c>
      <c r="E33">
        <f t="shared" si="1"/>
        <v>11.146825396825395</v>
      </c>
      <c r="F33">
        <f t="shared" si="1"/>
        <v>12.403968253968253</v>
      </c>
      <c r="G33">
        <f t="shared" si="1"/>
        <v>13.661111111111111</v>
      </c>
      <c r="H33">
        <f t="shared" si="1"/>
        <v>14.918253968253968</v>
      </c>
      <c r="I33">
        <f t="shared" si="1"/>
        <v>16.175396825396824</v>
      </c>
      <c r="J33">
        <f t="shared" si="1"/>
        <v>17.432539682539684</v>
      </c>
      <c r="K33">
        <f t="shared" si="1"/>
        <v>18.68968253968254</v>
      </c>
      <c r="L33">
        <f t="shared" si="1"/>
        <v>19.946825396825396</v>
      </c>
      <c r="M33">
        <f t="shared" si="1"/>
        <v>21.203968253968252</v>
      </c>
      <c r="N33">
        <f t="shared" si="1"/>
        <v>22.461111111111112</v>
      </c>
      <c r="O33">
        <f t="shared" si="1"/>
        <v>23.718253968253968</v>
      </c>
      <c r="P33">
        <f t="shared" si="1"/>
        <v>24.975396825396825</v>
      </c>
      <c r="Q33">
        <f t="shared" si="1"/>
        <v>26.232539682539681</v>
      </c>
      <c r="R33">
        <f t="shared" si="1"/>
        <v>27.489682539682541</v>
      </c>
      <c r="S33">
        <f t="shared" si="1"/>
        <v>28.746825396825397</v>
      </c>
      <c r="T33">
        <f t="shared" si="1"/>
        <v>30.003968253968253</v>
      </c>
      <c r="U33">
        <f t="shared" si="1"/>
        <v>31.261111111111109</v>
      </c>
      <c r="V33">
        <f t="shared" si="1"/>
        <v>32.518253968253966</v>
      </c>
      <c r="W33">
        <f t="shared" si="1"/>
        <v>33.775396825396825</v>
      </c>
      <c r="X33">
        <f t="shared" si="1"/>
        <v>35.032539682539685</v>
      </c>
      <c r="Y33">
        <f t="shared" si="1"/>
        <v>36.289682539682538</v>
      </c>
      <c r="Z33">
        <f t="shared" si="1"/>
        <v>55.146825396825399</v>
      </c>
      <c r="AA33">
        <f>AA35*1+((AA36-$L$54)/$L$5)+ SQRT((2*($L$54)/$K$3))</f>
        <v>105.4325396825397</v>
      </c>
    </row>
    <row r="34" spans="1:27" x14ac:dyDescent="0.25">
      <c r="A34" s="2">
        <f>A35*1+SQRT((2*(A35*5))/K3)</f>
        <v>3.2360679774997898</v>
      </c>
      <c r="B34" s="2">
        <f t="shared" ref="B34:AA34" si="2">B35*1+SQRT((2*(B35*5))/$K$3)</f>
        <v>5.16227766016838</v>
      </c>
      <c r="C34" s="2">
        <f t="shared" si="2"/>
        <v>6.872983346207417</v>
      </c>
      <c r="D34" s="2">
        <f t="shared" si="2"/>
        <v>8.4721359549995796</v>
      </c>
      <c r="E34" s="2">
        <f t="shared" si="2"/>
        <v>10</v>
      </c>
      <c r="F34" s="2">
        <f t="shared" si="2"/>
        <v>11.477225575051662</v>
      </c>
      <c r="G34" s="2">
        <f t="shared" si="2"/>
        <v>12.916079783099615</v>
      </c>
      <c r="H34" s="2">
        <f t="shared" si="2"/>
        <v>14.32455532033676</v>
      </c>
      <c r="I34" s="2">
        <f t="shared" si="2"/>
        <v>15.708203932499369</v>
      </c>
      <c r="J34" s="2">
        <f t="shared" si="2"/>
        <v>17.071067811865476</v>
      </c>
      <c r="K34" s="2">
        <f t="shared" si="2"/>
        <v>18.416198487095663</v>
      </c>
      <c r="L34" s="2">
        <f t="shared" si="2"/>
        <v>19.745966692414832</v>
      </c>
      <c r="M34" s="2">
        <f t="shared" si="2"/>
        <v>21.062257748298549</v>
      </c>
      <c r="N34" s="2">
        <f t="shared" si="2"/>
        <v>22.366600265340757</v>
      </c>
      <c r="O34" s="2">
        <f t="shared" si="2"/>
        <v>23.660254037844389</v>
      </c>
      <c r="P34" s="2">
        <f t="shared" si="2"/>
        <v>24.944271909999159</v>
      </c>
      <c r="Q34" s="2">
        <f t="shared" si="2"/>
        <v>26.219544457292887</v>
      </c>
      <c r="R34" s="2">
        <f t="shared" si="2"/>
        <v>27.486832980505138</v>
      </c>
      <c r="S34" s="2">
        <f t="shared" si="2"/>
        <v>28.746794344808961</v>
      </c>
      <c r="T34" s="2">
        <f t="shared" si="2"/>
        <v>30</v>
      </c>
      <c r="U34" s="2">
        <f t="shared" si="2"/>
        <v>31.246950765959596</v>
      </c>
      <c r="V34" s="2">
        <f t="shared" si="2"/>
        <v>32.488088481701517</v>
      </c>
      <c r="W34" s="2">
        <f t="shared" si="2"/>
        <v>33.723805294763608</v>
      </c>
      <c r="X34" s="2">
        <f t="shared" si="2"/>
        <v>34.954451150103324</v>
      </c>
      <c r="Y34" s="2">
        <f t="shared" si="2"/>
        <v>36.180339887498945</v>
      </c>
      <c r="Z34" s="2">
        <f t="shared" si="2"/>
        <v>54.142135623730951</v>
      </c>
      <c r="AA34" s="2">
        <f t="shared" si="2"/>
        <v>100</v>
      </c>
    </row>
    <row r="35" spans="1:27" x14ac:dyDescent="0.25">
      <c r="A35">
        <v>1</v>
      </c>
      <c r="B35">
        <v>2</v>
      </c>
      <c r="C35">
        <v>3</v>
      </c>
      <c r="D35">
        <v>4</v>
      </c>
      <c r="E35">
        <v>5</v>
      </c>
      <c r="F35">
        <v>6</v>
      </c>
      <c r="G35">
        <v>7</v>
      </c>
      <c r="H35">
        <v>8</v>
      </c>
      <c r="I35">
        <v>9</v>
      </c>
      <c r="J35">
        <v>10</v>
      </c>
      <c r="K35">
        <v>11</v>
      </c>
      <c r="L35">
        <v>12</v>
      </c>
      <c r="M35">
        <v>13</v>
      </c>
      <c r="N35">
        <v>14</v>
      </c>
      <c r="O35">
        <v>15</v>
      </c>
      <c r="P35">
        <v>16</v>
      </c>
      <c r="Q35">
        <v>17</v>
      </c>
      <c r="R35">
        <v>18</v>
      </c>
      <c r="S35">
        <v>19</v>
      </c>
      <c r="T35">
        <v>20</v>
      </c>
      <c r="U35">
        <v>21</v>
      </c>
      <c r="V35">
        <v>22</v>
      </c>
      <c r="W35">
        <v>23</v>
      </c>
      <c r="X35">
        <v>24</v>
      </c>
      <c r="Y35">
        <v>25</v>
      </c>
      <c r="Z35">
        <v>40</v>
      </c>
      <c r="AA35">
        <v>80</v>
      </c>
    </row>
    <row r="36" spans="1:27" x14ac:dyDescent="0.25">
      <c r="A36">
        <f t="shared" ref="A36:Q36" si="3">A35*5</f>
        <v>5</v>
      </c>
      <c r="B36">
        <f t="shared" si="3"/>
        <v>10</v>
      </c>
      <c r="C36">
        <f t="shared" si="3"/>
        <v>15</v>
      </c>
      <c r="D36">
        <f t="shared" si="3"/>
        <v>20</v>
      </c>
      <c r="E36">
        <f t="shared" si="3"/>
        <v>25</v>
      </c>
      <c r="F36">
        <f t="shared" si="3"/>
        <v>30</v>
      </c>
      <c r="G36">
        <f t="shared" si="3"/>
        <v>35</v>
      </c>
      <c r="H36">
        <f t="shared" si="3"/>
        <v>40</v>
      </c>
      <c r="I36">
        <f t="shared" si="3"/>
        <v>45</v>
      </c>
      <c r="J36">
        <f t="shared" si="3"/>
        <v>50</v>
      </c>
      <c r="K36">
        <f t="shared" si="3"/>
        <v>55</v>
      </c>
      <c r="L36">
        <f t="shared" si="3"/>
        <v>60</v>
      </c>
      <c r="M36">
        <f t="shared" si="3"/>
        <v>65</v>
      </c>
      <c r="N36">
        <f t="shared" si="3"/>
        <v>70</v>
      </c>
      <c r="O36">
        <f t="shared" si="3"/>
        <v>75</v>
      </c>
      <c r="P36">
        <f t="shared" si="3"/>
        <v>80</v>
      </c>
      <c r="Q36">
        <f t="shared" si="3"/>
        <v>85</v>
      </c>
      <c r="R36">
        <f>R35*5</f>
        <v>90</v>
      </c>
      <c r="S36">
        <f>S35*5</f>
        <v>95</v>
      </c>
      <c r="T36">
        <v>100</v>
      </c>
      <c r="U36">
        <f t="shared" ref="U36" si="4">U35*5</f>
        <v>105</v>
      </c>
      <c r="V36">
        <f t="shared" ref="V36" si="5">V35*5</f>
        <v>110</v>
      </c>
      <c r="W36">
        <f t="shared" ref="W36" si="6">W35*5</f>
        <v>115</v>
      </c>
      <c r="X36">
        <f t="shared" ref="X36" si="7">X35*5</f>
        <v>120</v>
      </c>
      <c r="Y36">
        <f t="shared" ref="Y36:AA36" si="8">Y35*5</f>
        <v>125</v>
      </c>
      <c r="Z36">
        <f t="shared" si="8"/>
        <v>200</v>
      </c>
      <c r="AA36">
        <f t="shared" si="8"/>
        <v>400</v>
      </c>
    </row>
    <row r="37" spans="1:27" x14ac:dyDescent="0.25">
      <c r="D37" s="4"/>
    </row>
    <row r="38" spans="1:27" x14ac:dyDescent="0.25">
      <c r="D38" s="34" t="s">
        <v>42</v>
      </c>
      <c r="E38" s="11"/>
      <c r="F38" s="11"/>
      <c r="G38" s="11"/>
      <c r="H38" s="11"/>
      <c r="I38" s="11"/>
      <c r="J38" s="11"/>
      <c r="K38" s="11"/>
      <c r="L38" s="32" t="s">
        <v>6</v>
      </c>
      <c r="M38" s="32"/>
      <c r="N38" s="32"/>
      <c r="O38" s="32"/>
      <c r="P38" s="32"/>
      <c r="R38" t="s">
        <v>11</v>
      </c>
      <c r="S38">
        <f>(-(2*V40+((2*V41)/K3))^2)-4*V40^2</f>
        <v>225</v>
      </c>
    </row>
    <row r="39" spans="1:27" x14ac:dyDescent="0.25">
      <c r="D39" s="34"/>
      <c r="E39" s="11"/>
      <c r="F39" s="11"/>
      <c r="G39" s="11"/>
      <c r="H39" s="11"/>
      <c r="I39" s="11"/>
      <c r="J39" s="11"/>
      <c r="K39" s="11"/>
      <c r="L39" s="32"/>
      <c r="M39" s="32"/>
      <c r="N39" s="32"/>
      <c r="O39" s="32"/>
      <c r="P39" s="32"/>
      <c r="R39" t="s">
        <v>12</v>
      </c>
      <c r="S39">
        <f>(((2*V40)+((2*V41)/K3))-SQRT(S38))/2</f>
        <v>5</v>
      </c>
    </row>
    <row r="40" spans="1:27" x14ac:dyDescent="0.25">
      <c r="D40" s="34"/>
      <c r="E40" s="11"/>
      <c r="F40" s="11"/>
      <c r="G40" s="11"/>
      <c r="H40" s="11"/>
      <c r="I40" s="11"/>
      <c r="J40" s="11"/>
      <c r="K40" s="11"/>
      <c r="L40" s="32"/>
      <c r="M40" s="32"/>
      <c r="N40" s="32"/>
      <c r="O40" s="32"/>
      <c r="P40" s="32"/>
      <c r="R40" s="1" t="s">
        <v>2</v>
      </c>
      <c r="S40" s="1">
        <f>((((2*V40)+V41))^2)-4*(V40^2)</f>
        <v>225</v>
      </c>
      <c r="U40" s="1" t="s">
        <v>4</v>
      </c>
      <c r="V40" s="1">
        <v>10</v>
      </c>
    </row>
    <row r="41" spans="1:27" x14ac:dyDescent="0.25">
      <c r="D41" s="34"/>
      <c r="E41" s="11"/>
      <c r="F41" s="11"/>
      <c r="G41" s="11"/>
      <c r="H41" s="11"/>
      <c r="I41" s="11"/>
      <c r="J41" s="11"/>
      <c r="K41" s="11"/>
      <c r="L41" s="16" t="s">
        <v>8</v>
      </c>
      <c r="M41" s="16"/>
      <c r="N41" s="16"/>
      <c r="O41" s="16"/>
      <c r="P41" s="16"/>
      <c r="R41" s="1" t="s">
        <v>3</v>
      </c>
      <c r="S41" s="1">
        <f>(((2*V40)+V41)-SQRT(S40))/2</f>
        <v>5</v>
      </c>
      <c r="U41" s="1" t="s">
        <v>5</v>
      </c>
      <c r="V41" s="1">
        <v>5</v>
      </c>
    </row>
    <row r="42" spans="1:27" x14ac:dyDescent="0.25">
      <c r="D42" s="34"/>
      <c r="E42" s="11"/>
      <c r="F42" s="11"/>
      <c r="G42" s="11"/>
      <c r="H42" s="11"/>
      <c r="I42" s="11"/>
      <c r="J42" s="11"/>
      <c r="K42" s="11"/>
      <c r="L42" s="16"/>
      <c r="M42" s="16"/>
      <c r="N42" s="16"/>
      <c r="O42" s="16"/>
      <c r="P42" s="16"/>
    </row>
    <row r="43" spans="1:27" x14ac:dyDescent="0.25">
      <c r="D43" s="34"/>
      <c r="E43" s="11"/>
      <c r="F43" s="11"/>
      <c r="G43" s="11"/>
      <c r="H43" s="11"/>
      <c r="I43" s="11"/>
      <c r="J43" s="11"/>
      <c r="K43" s="11"/>
      <c r="L43" s="16"/>
      <c r="M43" s="16"/>
      <c r="N43" s="16"/>
      <c r="O43" s="16"/>
      <c r="P43" s="16"/>
    </row>
    <row r="44" spans="1:27" x14ac:dyDescent="0.25">
      <c r="D44" s="34"/>
      <c r="E44" s="11"/>
      <c r="F44" s="11"/>
      <c r="G44" s="11"/>
      <c r="H44" s="11"/>
      <c r="I44" s="11"/>
      <c r="J44" s="11"/>
      <c r="K44" s="11"/>
      <c r="L44" s="17" t="s">
        <v>7</v>
      </c>
      <c r="M44" s="33"/>
      <c r="N44" s="33"/>
      <c r="O44" s="33"/>
      <c r="P44" s="33"/>
      <c r="U44" s="1" t="s">
        <v>4</v>
      </c>
      <c r="V44" s="1">
        <v>10</v>
      </c>
    </row>
    <row r="45" spans="1:27" x14ac:dyDescent="0.25">
      <c r="D45" s="34"/>
      <c r="E45" s="11"/>
      <c r="F45" s="11"/>
      <c r="G45" s="11"/>
      <c r="H45" s="11"/>
      <c r="I45" s="11"/>
      <c r="J45" s="11"/>
      <c r="K45" s="11"/>
      <c r="L45" s="33"/>
      <c r="M45" s="33"/>
      <c r="N45" s="33"/>
      <c r="O45" s="33"/>
      <c r="P45" s="33"/>
      <c r="R45" s="1" t="s">
        <v>3</v>
      </c>
      <c r="S45" s="1">
        <f>((V44*L5)+L54-(L5*SQRT(((2*L54)/K3))))/(V45+L5)</f>
        <v>4.0877525252525269</v>
      </c>
      <c r="U45" s="1" t="s">
        <v>5</v>
      </c>
      <c r="V45" s="1">
        <v>5</v>
      </c>
    </row>
    <row r="46" spans="1:27" x14ac:dyDescent="0.25">
      <c r="D46" s="34"/>
      <c r="E46" s="11"/>
      <c r="F46" s="11"/>
      <c r="G46" s="11"/>
      <c r="H46" s="11"/>
      <c r="I46" s="11"/>
      <c r="J46" s="11"/>
      <c r="K46" s="11"/>
      <c r="L46" s="33"/>
      <c r="M46" s="33"/>
      <c r="N46" s="33"/>
      <c r="O46" s="33"/>
      <c r="P46" s="33"/>
    </row>
    <row r="47" spans="1:27" x14ac:dyDescent="0.25">
      <c r="D47" s="34"/>
      <c r="E47" s="11"/>
      <c r="F47" s="11"/>
      <c r="G47" s="11"/>
      <c r="H47" s="11"/>
      <c r="I47" s="11"/>
      <c r="J47" s="11"/>
      <c r="K47" s="11"/>
      <c r="L47" s="17" t="s">
        <v>9</v>
      </c>
      <c r="M47" s="17"/>
      <c r="N47" s="17"/>
      <c r="O47" s="17"/>
      <c r="P47" s="17"/>
    </row>
    <row r="48" spans="1:27" x14ac:dyDescent="0.25">
      <c r="D48" s="34"/>
      <c r="E48" s="11"/>
      <c r="F48" s="11"/>
      <c r="G48" s="11"/>
      <c r="H48" s="11"/>
      <c r="I48" s="11"/>
      <c r="J48" s="11"/>
      <c r="K48" s="11"/>
      <c r="L48" s="17"/>
      <c r="M48" s="17"/>
      <c r="N48" s="17"/>
      <c r="O48" s="17"/>
      <c r="P48" s="17"/>
    </row>
    <row r="49" spans="4:16" x14ac:dyDescent="0.25">
      <c r="D49" s="34"/>
      <c r="E49" s="11"/>
      <c r="F49" s="11"/>
      <c r="G49" s="11"/>
      <c r="H49" s="11"/>
      <c r="I49" s="11"/>
      <c r="J49" s="11"/>
      <c r="K49" s="11"/>
      <c r="L49" s="17"/>
      <c r="M49" s="17"/>
      <c r="N49" s="17"/>
      <c r="O49" s="17"/>
      <c r="P49" s="17"/>
    </row>
    <row r="50" spans="4:16" x14ac:dyDescent="0.25">
      <c r="D50" s="34"/>
      <c r="E50" s="11"/>
      <c r="F50" s="11"/>
      <c r="G50" s="11"/>
      <c r="H50" s="11"/>
      <c r="I50" s="11"/>
      <c r="J50" s="11"/>
      <c r="K50" s="11"/>
      <c r="L50" s="17" t="s">
        <v>10</v>
      </c>
      <c r="M50" s="17"/>
      <c r="N50" s="17"/>
      <c r="O50" s="17"/>
      <c r="P50" s="17"/>
    </row>
    <row r="51" spans="4:16" x14ac:dyDescent="0.25">
      <c r="D51" s="34"/>
      <c r="E51" s="11"/>
      <c r="F51" s="11"/>
      <c r="G51" s="11"/>
      <c r="H51" s="11"/>
      <c r="I51" s="11"/>
      <c r="J51" s="11"/>
      <c r="K51" s="11"/>
      <c r="L51" s="17"/>
      <c r="M51" s="17"/>
      <c r="N51" s="17"/>
      <c r="O51" s="17"/>
      <c r="P51" s="17"/>
    </row>
    <row r="52" spans="4:16" ht="15" customHeight="1" x14ac:dyDescent="0.25">
      <c r="D52" s="34"/>
      <c r="E52" s="11"/>
      <c r="F52" s="11"/>
      <c r="G52" s="11"/>
      <c r="H52" s="11"/>
      <c r="I52" s="11"/>
      <c r="J52" s="11"/>
      <c r="K52" s="11"/>
      <c r="L52" s="17"/>
      <c r="M52" s="17"/>
      <c r="N52" s="17"/>
      <c r="O52" s="17"/>
      <c r="P52" s="17"/>
    </row>
    <row r="53" spans="4:16" x14ac:dyDescent="0.25">
      <c r="D53" s="34"/>
      <c r="E53" s="11"/>
      <c r="F53" s="11"/>
      <c r="G53" s="11"/>
      <c r="H53" s="11"/>
      <c r="I53" s="11"/>
      <c r="J53" s="11"/>
      <c r="K53" s="11"/>
      <c r="L53" s="17"/>
      <c r="M53" s="17"/>
      <c r="N53" s="17"/>
      <c r="O53" s="17"/>
      <c r="P53" s="17"/>
    </row>
    <row r="54" spans="4:16" x14ac:dyDescent="0.25">
      <c r="D54" s="4"/>
      <c r="J54" s="11"/>
      <c r="K54" s="11"/>
      <c r="L54" s="8">
        <f>0*K9+((K3*(K9^2))/2)</f>
        <v>94.521604938271594</v>
      </c>
    </row>
    <row r="55" spans="4:16" x14ac:dyDescent="0.25">
      <c r="D55" s="4"/>
      <c r="J55" s="11"/>
      <c r="K55" s="11"/>
      <c r="L55" s="8"/>
    </row>
    <row r="56" spans="4:16" x14ac:dyDescent="0.25">
      <c r="D56" s="4"/>
    </row>
    <row r="57" spans="4:16" x14ac:dyDescent="0.25">
      <c r="D57" s="4"/>
    </row>
    <row r="58" spans="4:16" x14ac:dyDescent="0.25">
      <c r="D58" s="21" t="s">
        <v>21</v>
      </c>
      <c r="E58" s="11"/>
      <c r="F58" s="11"/>
      <c r="G58" s="11"/>
      <c r="H58" s="11"/>
      <c r="I58" s="11"/>
      <c r="J58" s="17" t="s">
        <v>13</v>
      </c>
      <c r="K58" s="17"/>
      <c r="L58" s="17"/>
      <c r="M58" s="17"/>
      <c r="N58" s="17"/>
    </row>
    <row r="59" spans="4:16" x14ac:dyDescent="0.25">
      <c r="D59" s="21"/>
      <c r="E59" s="11"/>
      <c r="F59" s="11"/>
      <c r="G59" s="11"/>
      <c r="H59" s="11"/>
      <c r="I59" s="11"/>
      <c r="J59" s="17"/>
      <c r="K59" s="17"/>
      <c r="L59" s="17"/>
      <c r="M59" s="17"/>
      <c r="N59" s="17"/>
    </row>
    <row r="60" spans="4:16" x14ac:dyDescent="0.25">
      <c r="D60" s="21"/>
      <c r="E60" s="11"/>
      <c r="F60" s="11"/>
      <c r="G60" s="11"/>
      <c r="H60" s="11"/>
      <c r="I60" s="11"/>
      <c r="J60" s="17"/>
      <c r="K60" s="17"/>
      <c r="L60" s="17"/>
      <c r="M60" s="17"/>
      <c r="N60" s="17"/>
    </row>
    <row r="61" spans="4:16" x14ac:dyDescent="0.25">
      <c r="D61" s="21"/>
      <c r="E61" s="11"/>
      <c r="F61" s="11"/>
      <c r="G61" s="11"/>
      <c r="H61" s="11"/>
      <c r="I61" s="11"/>
      <c r="J61" s="16" t="s">
        <v>14</v>
      </c>
      <c r="K61" s="16"/>
      <c r="L61" s="16"/>
      <c r="M61" s="16"/>
      <c r="N61" s="16"/>
    </row>
    <row r="62" spans="4:16" x14ac:dyDescent="0.25">
      <c r="D62" s="21"/>
      <c r="E62" s="11"/>
      <c r="F62" s="11"/>
      <c r="G62" s="11"/>
      <c r="H62" s="11"/>
      <c r="I62" s="11"/>
      <c r="J62" s="16"/>
      <c r="K62" s="16"/>
      <c r="L62" s="16"/>
      <c r="M62" s="16"/>
      <c r="N62" s="16"/>
    </row>
    <row r="63" spans="4:16" x14ac:dyDescent="0.25">
      <c r="D63" s="21"/>
      <c r="E63" s="11"/>
      <c r="F63" s="11"/>
      <c r="G63" s="11"/>
      <c r="H63" s="11"/>
      <c r="I63" s="11"/>
      <c r="J63" s="16"/>
      <c r="K63" s="16"/>
      <c r="L63" s="16"/>
      <c r="M63" s="16"/>
      <c r="N63" s="16"/>
    </row>
    <row r="64" spans="4:16" x14ac:dyDescent="0.25">
      <c r="D64" s="21"/>
      <c r="E64" s="11"/>
      <c r="F64" s="11"/>
      <c r="G64" s="11"/>
      <c r="H64" s="11"/>
      <c r="I64" s="11"/>
      <c r="J64" s="17" t="s">
        <v>15</v>
      </c>
      <c r="K64" s="17"/>
      <c r="L64" s="17"/>
      <c r="M64" s="17"/>
      <c r="N64" s="17"/>
    </row>
    <row r="65" spans="4:14" x14ac:dyDescent="0.25">
      <c r="D65" s="21"/>
      <c r="E65" s="11"/>
      <c r="F65" s="11"/>
      <c r="G65" s="11"/>
      <c r="H65" s="11"/>
      <c r="I65" s="11"/>
      <c r="J65" s="17"/>
      <c r="K65" s="17"/>
      <c r="L65" s="17"/>
      <c r="M65" s="17"/>
      <c r="N65" s="17"/>
    </row>
    <row r="66" spans="4:14" x14ac:dyDescent="0.25">
      <c r="D66" s="21"/>
      <c r="E66" s="11"/>
      <c r="F66" s="11"/>
      <c r="G66" s="11"/>
      <c r="H66" s="11"/>
      <c r="I66" s="11"/>
      <c r="J66" s="17"/>
      <c r="K66" s="17"/>
      <c r="L66" s="17"/>
      <c r="M66" s="17"/>
      <c r="N66" s="17"/>
    </row>
    <row r="67" spans="4:14" x14ac:dyDescent="0.25">
      <c r="D67" s="21"/>
      <c r="E67" s="11"/>
      <c r="F67" s="11"/>
      <c r="G67" s="11"/>
      <c r="H67" s="11"/>
      <c r="I67" s="11"/>
      <c r="J67" s="16" t="s">
        <v>16</v>
      </c>
      <c r="K67" s="16"/>
      <c r="L67" s="16"/>
      <c r="M67" s="16"/>
      <c r="N67" s="16"/>
    </row>
    <row r="68" spans="4:14" x14ac:dyDescent="0.25">
      <c r="D68" s="21"/>
      <c r="E68" s="11"/>
      <c r="F68" s="11"/>
      <c r="G68" s="11"/>
      <c r="H68" s="11"/>
      <c r="I68" s="11"/>
      <c r="J68" s="16"/>
      <c r="K68" s="16"/>
      <c r="L68" s="16"/>
      <c r="M68" s="16"/>
      <c r="N68" s="16"/>
    </row>
    <row r="69" spans="4:14" x14ac:dyDescent="0.25">
      <c r="D69" s="21"/>
      <c r="E69" s="11"/>
      <c r="F69" s="11"/>
      <c r="G69" s="11"/>
      <c r="H69" s="11"/>
      <c r="I69" s="11"/>
      <c r="J69" s="16"/>
      <c r="K69" s="16"/>
      <c r="L69" s="16"/>
      <c r="M69" s="16"/>
      <c r="N69" s="16"/>
    </row>
    <row r="70" spans="4:14" x14ac:dyDescent="0.25">
      <c r="D70" s="21"/>
      <c r="E70" s="11"/>
      <c r="F70" s="11"/>
      <c r="G70" s="11"/>
      <c r="H70" s="11"/>
      <c r="I70" s="11"/>
      <c r="J70" s="16" t="s">
        <v>17</v>
      </c>
      <c r="K70" s="16"/>
      <c r="L70" s="16"/>
      <c r="M70" s="16"/>
      <c r="N70" s="16"/>
    </row>
    <row r="71" spans="4:14" x14ac:dyDescent="0.25">
      <c r="D71" s="21"/>
      <c r="E71" s="11"/>
      <c r="F71" s="11"/>
      <c r="G71" s="11"/>
      <c r="H71" s="11"/>
      <c r="I71" s="11"/>
      <c r="J71" s="16"/>
      <c r="K71" s="16"/>
      <c r="L71" s="16"/>
      <c r="M71" s="16"/>
      <c r="N71" s="16"/>
    </row>
    <row r="72" spans="4:14" x14ac:dyDescent="0.25">
      <c r="D72" s="21"/>
      <c r="E72" s="11"/>
      <c r="F72" s="11"/>
      <c r="G72" s="11"/>
      <c r="H72" s="11"/>
      <c r="I72" s="11"/>
      <c r="J72" s="16"/>
      <c r="K72" s="16"/>
      <c r="L72" s="16"/>
      <c r="M72" s="16"/>
      <c r="N72" s="16"/>
    </row>
    <row r="73" spans="4:14" x14ac:dyDescent="0.25">
      <c r="D73" s="21"/>
      <c r="E73" s="11"/>
      <c r="F73" s="11"/>
      <c r="G73" s="11"/>
      <c r="H73" s="11"/>
      <c r="I73" s="11"/>
      <c r="J73" s="17" t="s">
        <v>18</v>
      </c>
      <c r="K73" s="17"/>
      <c r="L73" s="17"/>
      <c r="M73" s="17"/>
      <c r="N73" s="17"/>
    </row>
    <row r="74" spans="4:14" x14ac:dyDescent="0.25">
      <c r="D74" s="21"/>
      <c r="E74" s="11"/>
      <c r="F74" s="11"/>
      <c r="G74" s="11"/>
      <c r="H74" s="11"/>
      <c r="I74" s="11"/>
      <c r="J74" s="17"/>
      <c r="K74" s="17"/>
      <c r="L74" s="17"/>
      <c r="M74" s="17"/>
      <c r="N74" s="17"/>
    </row>
    <row r="75" spans="4:14" x14ac:dyDescent="0.25">
      <c r="D75" s="21"/>
      <c r="E75" s="11"/>
      <c r="F75" s="11"/>
      <c r="G75" s="11"/>
      <c r="H75" s="11"/>
      <c r="I75" s="11"/>
      <c r="J75" s="17"/>
      <c r="K75" s="17"/>
      <c r="L75" s="17"/>
      <c r="M75" s="17"/>
      <c r="N75" s="17"/>
    </row>
    <row r="76" spans="4:14" x14ac:dyDescent="0.25">
      <c r="D76" s="21"/>
      <c r="E76" s="11"/>
      <c r="F76" s="11"/>
      <c r="G76" s="11"/>
      <c r="H76" s="11"/>
      <c r="I76" s="11"/>
      <c r="J76" s="17"/>
      <c r="K76" s="17"/>
      <c r="L76" s="17"/>
      <c r="M76" s="17"/>
      <c r="N76" s="17"/>
    </row>
    <row r="77" spans="4:14" x14ac:dyDescent="0.25">
      <c r="D77" s="21"/>
      <c r="E77" s="11"/>
      <c r="F77" s="11"/>
      <c r="G77" s="11"/>
      <c r="H77" s="11"/>
      <c r="I77" s="11"/>
      <c r="J77" s="17"/>
      <c r="K77" s="17"/>
      <c r="L77" s="17"/>
      <c r="M77" s="17"/>
      <c r="N77" s="17"/>
    </row>
    <row r="78" spans="4:14" x14ac:dyDescent="0.25">
      <c r="D78" s="21"/>
      <c r="E78" s="11"/>
      <c r="F78" s="11"/>
      <c r="G78" s="11"/>
      <c r="H78" s="11"/>
      <c r="I78" s="11"/>
      <c r="J78" s="17"/>
      <c r="K78" s="17"/>
      <c r="L78" s="17"/>
      <c r="M78" s="17"/>
      <c r="N78" s="17"/>
    </row>
    <row r="79" spans="4:14" x14ac:dyDescent="0.25">
      <c r="D79" s="21"/>
      <c r="E79" s="11"/>
      <c r="F79" s="11"/>
      <c r="G79" s="11"/>
      <c r="H79" s="11"/>
      <c r="I79" s="11"/>
      <c r="J79" s="16" t="s">
        <v>19</v>
      </c>
      <c r="K79" s="16"/>
      <c r="L79" s="16"/>
      <c r="M79" s="16"/>
      <c r="N79" s="16"/>
    </row>
    <row r="80" spans="4:14" x14ac:dyDescent="0.25">
      <c r="D80" s="21"/>
      <c r="E80" s="11"/>
      <c r="F80" s="11"/>
      <c r="G80" s="11"/>
      <c r="H80" s="11"/>
      <c r="I80" s="11"/>
      <c r="J80" s="16"/>
      <c r="K80" s="16"/>
      <c r="L80" s="16"/>
      <c r="M80" s="16"/>
      <c r="N80" s="16"/>
    </row>
    <row r="81" spans="4:14" x14ac:dyDescent="0.25">
      <c r="D81" s="21"/>
      <c r="E81" s="11"/>
      <c r="F81" s="11"/>
      <c r="G81" s="11"/>
      <c r="H81" s="11"/>
      <c r="I81" s="11"/>
      <c r="J81" s="16"/>
      <c r="K81" s="16"/>
      <c r="L81" s="16"/>
      <c r="M81" s="16"/>
      <c r="N81" s="16"/>
    </row>
    <row r="82" spans="4:14" x14ac:dyDescent="0.25">
      <c r="D82" s="21"/>
      <c r="E82" s="11"/>
      <c r="F82" s="11"/>
      <c r="G82" s="11"/>
      <c r="H82" s="11"/>
      <c r="I82" s="11"/>
      <c r="J82" s="15" t="s">
        <v>20</v>
      </c>
      <c r="K82" s="15"/>
      <c r="L82" s="15"/>
      <c r="M82" s="15"/>
      <c r="N82" s="15"/>
    </row>
    <row r="83" spans="4:14" x14ac:dyDescent="0.25">
      <c r="D83" s="21"/>
      <c r="E83" s="11"/>
      <c r="F83" s="11"/>
      <c r="G83" s="11"/>
      <c r="H83" s="11"/>
      <c r="I83" s="11"/>
      <c r="J83" s="15"/>
      <c r="K83" s="15"/>
      <c r="L83" s="15"/>
      <c r="M83" s="15"/>
      <c r="N83" s="15"/>
    </row>
    <row r="84" spans="4:14" x14ac:dyDescent="0.25">
      <c r="D84" s="21"/>
      <c r="E84" s="11"/>
      <c r="F84" s="11"/>
      <c r="G84" s="11"/>
      <c r="H84" s="11"/>
      <c r="I84" s="11"/>
      <c r="J84" s="15"/>
      <c r="K84" s="15"/>
      <c r="L84" s="15"/>
      <c r="M84" s="15"/>
      <c r="N84" s="15"/>
    </row>
    <row r="85" spans="4:14" x14ac:dyDescent="0.25">
      <c r="D85" s="21"/>
      <c r="E85" s="11"/>
      <c r="F85" s="11"/>
      <c r="G85" s="11"/>
      <c r="H85" s="11"/>
      <c r="I85" s="11"/>
      <c r="J85" s="15"/>
      <c r="K85" s="15"/>
      <c r="L85" s="15"/>
      <c r="M85" s="15"/>
      <c r="N85" s="15"/>
    </row>
    <row r="86" spans="4:14" x14ac:dyDescent="0.25">
      <c r="D86" s="21"/>
      <c r="E86" s="11"/>
      <c r="F86" s="11"/>
      <c r="G86" s="11"/>
      <c r="H86" s="11"/>
      <c r="I86" s="11"/>
      <c r="J86" s="15"/>
      <c r="K86" s="15"/>
      <c r="L86" s="15"/>
      <c r="M86" s="15"/>
      <c r="N86" s="15"/>
    </row>
    <row r="87" spans="4:14" x14ac:dyDescent="0.25">
      <c r="D87" s="21"/>
      <c r="E87" s="11"/>
      <c r="F87" s="11"/>
      <c r="G87" s="11"/>
      <c r="H87" s="11"/>
      <c r="I87" s="11"/>
      <c r="J87" s="15"/>
      <c r="K87" s="15"/>
      <c r="L87" s="15"/>
      <c r="M87" s="15"/>
      <c r="N87" s="15"/>
    </row>
  </sheetData>
  <mergeCells count="100">
    <mergeCell ref="N19:N20"/>
    <mergeCell ref="O19:O20"/>
    <mergeCell ref="P19:P20"/>
    <mergeCell ref="N21:N22"/>
    <mergeCell ref="O21:O22"/>
    <mergeCell ref="P21:P22"/>
    <mergeCell ref="U14:U15"/>
    <mergeCell ref="V12:V13"/>
    <mergeCell ref="Q12:T13"/>
    <mergeCell ref="N12:P13"/>
    <mergeCell ref="U12:U13"/>
    <mergeCell ref="A3:C3"/>
    <mergeCell ref="D4:J4"/>
    <mergeCell ref="A4:C4"/>
    <mergeCell ref="N14:P15"/>
    <mergeCell ref="Q14:T15"/>
    <mergeCell ref="A7:C8"/>
    <mergeCell ref="K7:K8"/>
    <mergeCell ref="A5:C6"/>
    <mergeCell ref="D5:J6"/>
    <mergeCell ref="K5:K6"/>
    <mergeCell ref="A14:C15"/>
    <mergeCell ref="D14:J15"/>
    <mergeCell ref="K14:K15"/>
    <mergeCell ref="A11:C13"/>
    <mergeCell ref="K9:K10"/>
    <mergeCell ref="D9:J10"/>
    <mergeCell ref="K16:K18"/>
    <mergeCell ref="D19:J21"/>
    <mergeCell ref="K19:K21"/>
    <mergeCell ref="A19:C21"/>
    <mergeCell ref="A25:C27"/>
    <mergeCell ref="A22:C24"/>
    <mergeCell ref="D25:J27"/>
    <mergeCell ref="A1:C1"/>
    <mergeCell ref="L54:L55"/>
    <mergeCell ref="E38:K40"/>
    <mergeCell ref="E41:K43"/>
    <mergeCell ref="E50:K53"/>
    <mergeCell ref="L38:P40"/>
    <mergeCell ref="L44:P46"/>
    <mergeCell ref="J54:K55"/>
    <mergeCell ref="E44:K46"/>
    <mergeCell ref="E47:K49"/>
    <mergeCell ref="D38:D53"/>
    <mergeCell ref="D1:J1"/>
    <mergeCell ref="K11:K13"/>
    <mergeCell ref="D11:J13"/>
    <mergeCell ref="D7:J8"/>
    <mergeCell ref="A28:C31"/>
    <mergeCell ref="L5:L6"/>
    <mergeCell ref="A2:C2"/>
    <mergeCell ref="D2:J2"/>
    <mergeCell ref="N4:P5"/>
    <mergeCell ref="J61:N63"/>
    <mergeCell ref="L41:P43"/>
    <mergeCell ref="L47:P49"/>
    <mergeCell ref="L50:P53"/>
    <mergeCell ref="K25:K27"/>
    <mergeCell ref="D22:J24"/>
    <mergeCell ref="K22:K24"/>
    <mergeCell ref="A9:C10"/>
    <mergeCell ref="D28:J31"/>
    <mergeCell ref="K28:K31"/>
    <mergeCell ref="A16:C18"/>
    <mergeCell ref="D16:J18"/>
    <mergeCell ref="J64:N66"/>
    <mergeCell ref="E61:I63"/>
    <mergeCell ref="E64:I66"/>
    <mergeCell ref="D58:D87"/>
    <mergeCell ref="J58:N60"/>
    <mergeCell ref="E58:I60"/>
    <mergeCell ref="Q1:T3"/>
    <mergeCell ref="N1:P3"/>
    <mergeCell ref="U1:U3"/>
    <mergeCell ref="J82:N87"/>
    <mergeCell ref="E82:I84"/>
    <mergeCell ref="E85:I87"/>
    <mergeCell ref="J67:N69"/>
    <mergeCell ref="J70:N72"/>
    <mergeCell ref="E79:I81"/>
    <mergeCell ref="E73:I75"/>
    <mergeCell ref="E76:I78"/>
    <mergeCell ref="J79:N81"/>
    <mergeCell ref="J73:N78"/>
    <mergeCell ref="E67:I69"/>
    <mergeCell ref="E70:I72"/>
    <mergeCell ref="D3:J3"/>
    <mergeCell ref="W12:W13"/>
    <mergeCell ref="Q4:T5"/>
    <mergeCell ref="U4:U5"/>
    <mergeCell ref="N6:P7"/>
    <mergeCell ref="Q6:T7"/>
    <mergeCell ref="U6:U7"/>
    <mergeCell ref="N10:P11"/>
    <mergeCell ref="Q10:T11"/>
    <mergeCell ref="N8:P9"/>
    <mergeCell ref="Q8:T9"/>
    <mergeCell ref="U8:U9"/>
    <mergeCell ref="U10:U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Артем Клейменов</dc:creator>
  <cp:lastModifiedBy>Артем Клейменов</cp:lastModifiedBy>
  <dcterms:created xsi:type="dcterms:W3CDTF">2015-06-05T18:19:34Z</dcterms:created>
  <dcterms:modified xsi:type="dcterms:W3CDTF">2023-11-11T16:52:32Z</dcterms:modified>
</cp:coreProperties>
</file>