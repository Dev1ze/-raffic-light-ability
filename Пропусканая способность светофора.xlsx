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3FF019BF-C078-4D36-9439-BB0F7DA6DEC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1" i="1" l="1"/>
  <c r="P19" i="1"/>
  <c r="C32" i="1"/>
  <c r="D32" i="1"/>
  <c r="E32" i="1"/>
  <c r="F32" i="1"/>
  <c r="G32" i="1"/>
  <c r="H32" i="1"/>
  <c r="B32" i="1"/>
  <c r="A32" i="1"/>
  <c r="C34" i="1"/>
  <c r="K16" i="1"/>
  <c r="K14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K9" i="1" l="1"/>
  <c r="K11" i="1" s="1"/>
  <c r="L54" i="1" l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19" i="1"/>
  <c r="K28" i="1" s="1"/>
  <c r="S45" i="1"/>
  <c r="V33" i="1"/>
  <c r="U33" i="1"/>
  <c r="AA33" i="1"/>
  <c r="S33" i="1"/>
  <c r="Y33" i="1"/>
  <c r="W33" i="1"/>
  <c r="Z33" i="1"/>
  <c r="K22" i="1" l="1"/>
  <c r="K25" i="1" s="1"/>
  <c r="U1" i="1" l="1"/>
  <c r="U6" i="1" s="1"/>
  <c r="U8" i="1" s="1"/>
  <c r="U14" i="1" s="1"/>
  <c r="U10" i="1" l="1"/>
  <c r="U12" i="1"/>
  <c r="V12" i="1" s="1"/>
  <c r="W12" i="1" s="1"/>
</calcChain>
</file>

<file path=xl/sharedStrings.xml><?xml version="1.0" encoding="utf-8"?>
<sst xmlns="http://schemas.openxmlformats.org/spreadsheetml/2006/main" count="52" uniqueCount="48">
  <si>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</si>
  <si>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</si>
  <si>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</si>
  <si>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</si>
  <si>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</si>
  <si>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</si>
  <si>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</si>
  <si>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</si>
  <si>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</si>
  <si>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</si>
  <si>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</si>
  <si>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</si>
  <si>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</si>
  <si>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</si>
  <si>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</si>
  <si>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</si>
  <si>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</si>
  <si>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</si>
  <si>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</si>
  <si>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</si>
  <si>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</si>
  <si>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</si>
  <si>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</si>
  <si>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</si>
  <si>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</si>
  <si>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</si>
  <si>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</si>
  <si>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</si>
  <si>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</si>
  <si>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</si>
  <si>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</si>
  <si>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</si>
  <si>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</si>
  <si>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</si>
  <si>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</si>
  <si>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</si>
  <si>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</si>
  <si>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</si>
  <si>
    <t>Вероятность того что канал обслуживания свободен</t>
  </si>
  <si>
    <t xml:space="preserve">Среднее число заявок находящихся в системе </t>
  </si>
  <si>
    <t xml:space="preserve">Среднее число заявок находящихся в очереди </t>
  </si>
  <si>
    <t>Среднее время прибывания заявки в системе (час.) - (мин.) - (сек.)</t>
  </si>
  <si>
    <t>Уравнение при постоянной скорости и ускорением</t>
  </si>
  <si>
    <t>Время реакции</t>
  </si>
  <si>
    <t>Для проверки k &lt; 1</t>
  </si>
  <si>
    <t>Для проверки k &gt; 1</t>
  </si>
  <si>
    <t>Кол-во</t>
  </si>
  <si>
    <t>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</si>
</sst>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5" fillId="0" borderId="0" xfId="0" applyFont="1" applyAlignment="1">
      <alignment vertical="center" textRotation="90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left" wrapText="1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/>
    </xf>
    <xf numFmtId="0" fontId="0" fillId="4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14415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566041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4026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401590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sSub>
                        <m:sSubPr>
                          <m:ctrlPr>
                            <a:rPr lang="ru-RU" sz="110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𝑡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реак</m:t>
                          </m:r>
                        </m:sub>
                      </m:s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671407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8652" cy="5519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22049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334167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𝑖−(〖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(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157369</xdr:colOff>
      <xdr:row>69</xdr:row>
      <xdr:rowOff>182218</xdr:rowOff>
    </xdr:from>
    <xdr:ext cx="2733262" cy="2667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реак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bSup>
                    <m:sSub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latin typeface="Cambria Math" panose="02040503050406030204" pitchFamily="18" charset="0"/>
                        </a:rPr>
                        <m:t>реак</m:t>
                      </m:r>
                    </m:sub>
                    <m:sup>
                      <m:r>
                        <a:rPr lang="ru-RU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bSup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𝐾+𝑡_</a:t>
              </a:r>
              <a:r>
                <a:rPr lang="ru-RU" sz="1100" b="0" i="0">
                  <a:latin typeface="Cambria Math" panose="02040503050406030204" pitchFamily="18" charset="0"/>
                </a:rPr>
                <a:t>реак</a:t>
              </a:r>
              <a:r>
                <a:rPr lang="en-US" sz="1100" b="0" i="0">
                  <a:latin typeface="Cambria Math" panose="02040503050406030204" pitchFamily="18" charset="0"/>
                </a:rPr>
                <a:t>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124240</xdr:colOff>
      <xdr:row>72</xdr:row>
      <xdr:rowOff>115957</xdr:rowOff>
    </xdr:from>
    <xdr:ext cx="2857500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56323</xdr:colOff>
      <xdr:row>75</xdr:row>
      <xdr:rowOff>89450</xdr:rowOff>
    </xdr:from>
    <xdr:ext cx="301652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457198</xdr:colOff>
      <xdr:row>78</xdr:row>
      <xdr:rowOff>59634</xdr:rowOff>
    </xdr:from>
    <xdr:ext cx="2317301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bSup>
                      <m:sSub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  <m:sup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latin typeface="Cambria Math" panose="02040503050406030204" pitchFamily="18" charset="0"/>
                </a:rPr>
                <a:t>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130866</xdr:colOff>
      <xdr:row>81</xdr:row>
      <xdr:rowOff>72888</xdr:rowOff>
    </xdr:from>
    <xdr:ext cx="166205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1078402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599082"/>
              <a:ext cx="107840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599082"/>
              <a:ext cx="107840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528426</xdr:colOff>
      <xdr:row>24</xdr:row>
      <xdr:rowOff>81165</xdr:rowOff>
    </xdr:from>
    <xdr:ext cx="2728889" cy="5010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∗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реакции</m:t>
                                </m:r>
                              </m:sub>
                            </m:sSub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〖∗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23185</xdr:colOff>
      <xdr:row>21</xdr:row>
      <xdr:rowOff>56321</xdr:rowOff>
    </xdr:from>
    <xdr:ext cx="432464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 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реакции</m:t>
                            </m:r>
                          </m:sub>
                        </m:sSub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 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〗^2∗𝑡_(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404194</xdr:colOff>
      <xdr:row>7</xdr:row>
      <xdr:rowOff>130864</xdr:rowOff>
    </xdr:from>
    <xdr:ext cx="79803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=(1−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0=(1−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437322</xdr:colOff>
      <xdr:row>9</xdr:row>
      <xdr:rowOff>31474</xdr:rowOff>
    </xdr:from>
    <xdr:ext cx="896015" cy="318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сист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сист</a:t>
              </a:r>
              <a:r>
                <a:rPr lang="en-US" sz="1100" b="0" i="0">
                  <a:latin typeface="Cambria Math" panose="02040503050406030204" pitchFamily="18" charset="0"/>
                </a:rPr>
                <a:t>=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𝜌/(</a:t>
              </a:r>
              <a:r>
                <a:rPr lang="en-US" sz="1100" b="0" i="0">
                  <a:latin typeface="Cambria Math" panose="02040503050406030204" pitchFamily="18" charset="0"/>
                </a:rPr>
                <a:t>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362781</xdr:colOff>
      <xdr:row>11</xdr:row>
      <xdr:rowOff>14908</xdr:rowOff>
    </xdr:from>
    <xdr:ext cx="957442" cy="3480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(1−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r>
                <a:rPr lang="ru-RU" sz="1100" b="0" i="0">
                  <a:latin typeface="Cambria Math" panose="02040503050406030204" pitchFamily="18" charset="0"/>
                </a:rPr>
                <a:t>_об=  1/(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𝜇(1−𝜌))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424071</xdr:colOff>
      <xdr:row>13</xdr:row>
      <xdr:rowOff>18222</xdr:rowOff>
    </xdr:from>
    <xdr:ext cx="801117" cy="3683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оч</a:t>
              </a:r>
              <a:r>
                <a:rPr lang="en-US" sz="1100" b="0" i="0">
                  <a:latin typeface="Cambria Math" panose="02040503050406030204" pitchFamily="18" charset="0"/>
                </a:rPr>
                <a:t>=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/(1−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122582</xdr:colOff>
      <xdr:row>2</xdr:row>
      <xdr:rowOff>180561</xdr:rowOff>
    </xdr:from>
    <xdr:ext cx="484748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реакции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_реакции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topLeftCell="A16" zoomScale="115" zoomScaleNormal="115" workbookViewId="0">
      <selection activeCell="N25" sqref="N25"/>
    </sheetView>
  </sheetViews>
  <sheetFormatPr defaultRowHeight="15" x14ac:dyDescent="0.25"/>
  <cols>
    <col min="1" max="2" width="10.5703125" customWidth="1"/>
    <col min="4" max="4" width="9.140625" customWidth="1"/>
    <col min="10" max="10" width="10.42578125" customWidth="1"/>
    <col min="11" max="11" width="10.85546875" bestFit="1" customWidth="1"/>
    <col min="14" max="14" width="21" customWidth="1"/>
    <col min="19" max="19" width="14.7109375" customWidth="1"/>
  </cols>
  <sheetData>
    <row r="1" spans="1:23" x14ac:dyDescent="0.25">
      <c r="A1" s="50" t="s">
        <v>0</v>
      </c>
      <c r="B1" s="50"/>
      <c r="C1" s="12"/>
      <c r="D1" s="55"/>
      <c r="E1" s="55"/>
      <c r="F1" s="55"/>
      <c r="G1" s="55"/>
      <c r="H1" s="55"/>
      <c r="I1" s="55"/>
      <c r="J1" s="55"/>
      <c r="K1" s="5">
        <v>30</v>
      </c>
      <c r="N1" s="61" t="s">
        <v>34</v>
      </c>
      <c r="O1" s="61"/>
      <c r="P1" s="61"/>
      <c r="Q1" s="10"/>
      <c r="R1" s="10"/>
      <c r="S1" s="10"/>
      <c r="T1" s="10"/>
      <c r="U1" s="9">
        <f>IF(K25="-",(3600/(K1+K2))*K28,(3600/(K1+K2))*K25)</f>
        <v>1199.810606060606</v>
      </c>
    </row>
    <row r="2" spans="1:23" x14ac:dyDescent="0.25">
      <c r="A2" s="13" t="s">
        <v>33</v>
      </c>
      <c r="B2" s="13"/>
      <c r="C2" s="13"/>
      <c r="D2" s="10"/>
      <c r="E2" s="10"/>
      <c r="F2" s="10"/>
      <c r="G2" s="10"/>
      <c r="H2" s="10"/>
      <c r="I2" s="10"/>
      <c r="J2" s="10"/>
      <c r="K2" s="3">
        <v>30</v>
      </c>
      <c r="N2" s="61"/>
      <c r="O2" s="61"/>
      <c r="P2" s="61"/>
      <c r="Q2" s="10"/>
      <c r="R2" s="10"/>
      <c r="S2" s="10"/>
      <c r="T2" s="10"/>
      <c r="U2" s="9"/>
    </row>
    <row r="3" spans="1:23" ht="15" customHeight="1" x14ac:dyDescent="0.25">
      <c r="A3" s="12" t="s">
        <v>1</v>
      </c>
      <c r="B3" s="13"/>
      <c r="C3" s="14"/>
      <c r="D3" s="15" t="s">
        <v>26</v>
      </c>
      <c r="E3" s="16"/>
      <c r="F3" s="16"/>
      <c r="G3" s="16"/>
      <c r="H3" s="16"/>
      <c r="I3" s="16"/>
      <c r="J3" s="17"/>
      <c r="K3" s="6">
        <v>2</v>
      </c>
      <c r="N3" s="61"/>
      <c r="O3" s="61"/>
      <c r="P3" s="61"/>
      <c r="Q3" s="10"/>
      <c r="R3" s="10"/>
      <c r="S3" s="10"/>
      <c r="T3" s="10"/>
      <c r="U3" s="9"/>
    </row>
    <row r="4" spans="1:23" ht="15.75" customHeight="1" x14ac:dyDescent="0.25">
      <c r="A4" s="12" t="s">
        <v>43</v>
      </c>
      <c r="B4" s="13"/>
      <c r="C4" s="14"/>
      <c r="D4" s="15"/>
      <c r="E4" s="16"/>
      <c r="F4" s="16"/>
      <c r="G4" s="16"/>
      <c r="H4" s="16"/>
      <c r="I4" s="16"/>
      <c r="J4" s="17"/>
      <c r="K4" s="6">
        <v>1</v>
      </c>
      <c r="N4" s="11" t="s">
        <v>35</v>
      </c>
      <c r="O4" s="11"/>
      <c r="P4" s="11"/>
      <c r="Q4" s="56" t="s">
        <v>36</v>
      </c>
      <c r="R4" s="9"/>
      <c r="S4" s="9"/>
      <c r="T4" s="9"/>
      <c r="U4" s="9">
        <v>700</v>
      </c>
    </row>
    <row r="5" spans="1:23" ht="16.5" customHeight="1" x14ac:dyDescent="0.25">
      <c r="A5" s="21" t="s">
        <v>23</v>
      </c>
      <c r="B5" s="21"/>
      <c r="C5" s="22"/>
      <c r="D5" s="25"/>
      <c r="E5" s="26"/>
      <c r="F5" s="26"/>
      <c r="G5" s="26"/>
      <c r="H5" s="26"/>
      <c r="I5" s="26"/>
      <c r="J5" s="27"/>
      <c r="K5" s="9">
        <v>70</v>
      </c>
      <c r="L5" s="9">
        <f>K5/3.6</f>
        <v>19.444444444444443</v>
      </c>
      <c r="N5" s="11"/>
      <c r="O5" s="11"/>
      <c r="P5" s="11"/>
      <c r="Q5" s="9"/>
      <c r="R5" s="9"/>
      <c r="S5" s="9"/>
      <c r="T5" s="9"/>
      <c r="U5" s="9"/>
    </row>
    <row r="6" spans="1:23" ht="17.25" customHeight="1" x14ac:dyDescent="0.25">
      <c r="A6" s="23"/>
      <c r="B6" s="23"/>
      <c r="C6" s="24"/>
      <c r="D6" s="28"/>
      <c r="E6" s="29"/>
      <c r="F6" s="29"/>
      <c r="G6" s="29"/>
      <c r="H6" s="29"/>
      <c r="I6" s="29"/>
      <c r="J6" s="30"/>
      <c r="K6" s="9"/>
      <c r="L6" s="9"/>
      <c r="N6" s="18" t="s">
        <v>37</v>
      </c>
      <c r="O6" s="18"/>
      <c r="P6" s="18"/>
      <c r="Q6" s="10"/>
      <c r="R6" s="10"/>
      <c r="S6" s="10"/>
      <c r="T6" s="10"/>
      <c r="U6" s="9">
        <f>U4/U1</f>
        <v>0.5834254143646409</v>
      </c>
    </row>
    <row r="7" spans="1:23" ht="16.5" customHeight="1" x14ac:dyDescent="0.25">
      <c r="A7" s="19" t="s">
        <v>22</v>
      </c>
      <c r="B7" s="19"/>
      <c r="C7" s="19"/>
      <c r="D7" s="56" t="s">
        <v>5</v>
      </c>
      <c r="E7" s="56"/>
      <c r="F7" s="56"/>
      <c r="G7" s="56"/>
      <c r="H7" s="56"/>
      <c r="I7" s="56"/>
      <c r="J7" s="56"/>
      <c r="K7" s="20">
        <v>5</v>
      </c>
      <c r="N7" s="18"/>
      <c r="O7" s="18"/>
      <c r="P7" s="18"/>
      <c r="Q7" s="10"/>
      <c r="R7" s="10"/>
      <c r="S7" s="10"/>
      <c r="T7" s="10"/>
      <c r="U7" s="9"/>
    </row>
    <row r="8" spans="1:23" ht="15" customHeight="1" x14ac:dyDescent="0.25">
      <c r="A8" s="19"/>
      <c r="B8" s="19"/>
      <c r="C8" s="19"/>
      <c r="D8" s="56"/>
      <c r="E8" s="56"/>
      <c r="F8" s="56"/>
      <c r="G8" s="56"/>
      <c r="H8" s="56"/>
      <c r="I8" s="56"/>
      <c r="J8" s="56"/>
      <c r="K8" s="9"/>
      <c r="N8" s="11" t="s">
        <v>38</v>
      </c>
      <c r="O8" s="11"/>
      <c r="P8" s="11"/>
      <c r="Q8" s="10"/>
      <c r="R8" s="10"/>
      <c r="S8" s="10"/>
      <c r="T8" s="10"/>
      <c r="U8" s="9">
        <f>IF(U6&lt;1,1-U6,"P→ထ")</f>
        <v>0.4165745856353591</v>
      </c>
    </row>
    <row r="9" spans="1:23" ht="18" customHeight="1" x14ac:dyDescent="0.25">
      <c r="A9" s="31" t="s">
        <v>24</v>
      </c>
      <c r="B9" s="31"/>
      <c r="C9" s="34"/>
      <c r="D9" s="40"/>
      <c r="E9" s="41"/>
      <c r="F9" s="41"/>
      <c r="G9" s="41"/>
      <c r="H9" s="41"/>
      <c r="I9" s="41"/>
      <c r="J9" s="42"/>
      <c r="K9" s="9">
        <f>(L5-0)/2</f>
        <v>9.7222222222222214</v>
      </c>
      <c r="N9" s="11"/>
      <c r="O9" s="11"/>
      <c r="P9" s="11"/>
      <c r="Q9" s="10"/>
      <c r="R9" s="10"/>
      <c r="S9" s="10"/>
      <c r="T9" s="10"/>
      <c r="U9" s="9"/>
    </row>
    <row r="10" spans="1:23" x14ac:dyDescent="0.25">
      <c r="A10" s="32"/>
      <c r="B10" s="32"/>
      <c r="C10" s="39"/>
      <c r="D10" s="43"/>
      <c r="E10" s="44"/>
      <c r="F10" s="44"/>
      <c r="G10" s="44"/>
      <c r="H10" s="44"/>
      <c r="I10" s="44"/>
      <c r="J10" s="45"/>
      <c r="K10" s="9"/>
      <c r="N10" s="11" t="s">
        <v>39</v>
      </c>
      <c r="O10" s="11"/>
      <c r="P10" s="11"/>
      <c r="Q10" s="10"/>
      <c r="R10" s="10"/>
      <c r="S10" s="10"/>
      <c r="T10" s="10"/>
      <c r="U10" s="63">
        <f>IF(U6&lt;1,U6/U8,"M→ထ")</f>
        <v>1.4005305039787799</v>
      </c>
    </row>
    <row r="11" spans="1:23" ht="15" customHeight="1" x14ac:dyDescent="0.25">
      <c r="A11" s="33" t="s">
        <v>25</v>
      </c>
      <c r="B11" s="31"/>
      <c r="C11" s="34"/>
      <c r="D11" s="10"/>
      <c r="E11" s="10"/>
      <c r="F11" s="10"/>
      <c r="G11" s="10"/>
      <c r="H11" s="10"/>
      <c r="I11" s="10"/>
      <c r="J11" s="10"/>
      <c r="K11" s="9">
        <f>0*K9+((K3*(K9^2))/2)</f>
        <v>94.521604938271594</v>
      </c>
      <c r="N11" s="11"/>
      <c r="O11" s="11"/>
      <c r="P11" s="11"/>
      <c r="Q11" s="10"/>
      <c r="R11" s="10"/>
      <c r="S11" s="10"/>
      <c r="T11" s="10"/>
      <c r="U11" s="63"/>
    </row>
    <row r="12" spans="1:23" ht="15" customHeight="1" x14ac:dyDescent="0.25">
      <c r="A12" s="35"/>
      <c r="B12" s="36"/>
      <c r="C12" s="37"/>
      <c r="D12" s="10"/>
      <c r="E12" s="10"/>
      <c r="F12" s="10"/>
      <c r="G12" s="10"/>
      <c r="H12" s="10"/>
      <c r="I12" s="10"/>
      <c r="J12" s="10"/>
      <c r="K12" s="9"/>
      <c r="N12" s="11" t="s">
        <v>41</v>
      </c>
      <c r="O12" s="11"/>
      <c r="P12" s="11"/>
      <c r="Q12" s="10"/>
      <c r="R12" s="10"/>
      <c r="S12" s="10"/>
      <c r="T12" s="10"/>
      <c r="U12" s="9">
        <f>IF(U6&lt;1,1/(U1*(U8)),"Tоб→ထ")</f>
        <v>2.0007578628268284E-3</v>
      </c>
      <c r="V12" s="9">
        <f>IF(U6&lt;1,U12*60,"-")</f>
        <v>0.1200454717696097</v>
      </c>
      <c r="W12" s="9">
        <f>V12*60</f>
        <v>7.2027283061765814</v>
      </c>
    </row>
    <row r="13" spans="1:23" ht="15" customHeight="1" x14ac:dyDescent="0.25">
      <c r="A13" s="38"/>
      <c r="B13" s="32"/>
      <c r="C13" s="39"/>
      <c r="D13" s="10"/>
      <c r="E13" s="10"/>
      <c r="F13" s="10"/>
      <c r="G13" s="10"/>
      <c r="H13" s="10"/>
      <c r="I13" s="10"/>
      <c r="J13" s="10"/>
      <c r="K13" s="9"/>
      <c r="N13" s="11"/>
      <c r="O13" s="11"/>
      <c r="P13" s="11"/>
      <c r="Q13" s="10"/>
      <c r="R13" s="10"/>
      <c r="S13" s="10"/>
      <c r="T13" s="10"/>
      <c r="U13" s="9"/>
      <c r="V13" s="9"/>
      <c r="W13" s="9"/>
    </row>
    <row r="14" spans="1:23" ht="15" customHeight="1" x14ac:dyDescent="0.25">
      <c r="A14" s="31" t="s">
        <v>31</v>
      </c>
      <c r="B14" s="31"/>
      <c r="C14" s="31"/>
      <c r="D14" s="10"/>
      <c r="E14" s="10"/>
      <c r="F14" s="10"/>
      <c r="G14" s="10"/>
      <c r="H14" s="10"/>
      <c r="I14" s="10"/>
      <c r="J14" s="10"/>
      <c r="K14" s="9">
        <f>K11/K7+1</f>
        <v>19.904320987654319</v>
      </c>
      <c r="N14" s="18" t="s">
        <v>40</v>
      </c>
      <c r="O14" s="18"/>
      <c r="P14" s="18"/>
      <c r="Q14" s="10"/>
      <c r="R14" s="10"/>
      <c r="S14" s="10"/>
      <c r="T14" s="10"/>
      <c r="U14" s="9">
        <f>IF(U6&lt;1,(U6^2)/U8,"M→ထ")</f>
        <v>0.81710508961413908</v>
      </c>
    </row>
    <row r="15" spans="1:23" ht="15" customHeight="1" x14ac:dyDescent="0.25">
      <c r="A15" s="32"/>
      <c r="B15" s="32"/>
      <c r="C15" s="32"/>
      <c r="D15" s="10"/>
      <c r="E15" s="10"/>
      <c r="F15" s="10"/>
      <c r="G15" s="10"/>
      <c r="H15" s="10"/>
      <c r="I15" s="10"/>
      <c r="J15" s="10"/>
      <c r="K15" s="9"/>
      <c r="N15" s="18"/>
      <c r="O15" s="18"/>
      <c r="P15" s="18"/>
      <c r="Q15" s="10"/>
      <c r="R15" s="10"/>
      <c r="S15" s="10"/>
      <c r="T15" s="10"/>
      <c r="U15" s="9"/>
    </row>
    <row r="16" spans="1:23" x14ac:dyDescent="0.25">
      <c r="A16" s="46" t="s">
        <v>30</v>
      </c>
      <c r="B16" s="46"/>
      <c r="C16" s="46"/>
      <c r="D16" s="10"/>
      <c r="E16" s="10"/>
      <c r="F16" s="10"/>
      <c r="G16" s="10"/>
      <c r="H16" s="10"/>
      <c r="I16" s="10"/>
      <c r="J16" s="10"/>
      <c r="K16" s="9">
        <f>K14+SQRT((2*(K14*K7))/K3)</f>
        <v>29.880372558204243</v>
      </c>
    </row>
    <row r="17" spans="1:16" x14ac:dyDescent="0.25">
      <c r="A17" s="46"/>
      <c r="B17" s="46"/>
      <c r="C17" s="46"/>
      <c r="D17" s="10"/>
      <c r="E17" s="10"/>
      <c r="F17" s="10"/>
      <c r="G17" s="10"/>
      <c r="H17" s="10"/>
      <c r="I17" s="10"/>
      <c r="J17" s="10"/>
      <c r="K17" s="9"/>
    </row>
    <row r="18" spans="1:16" x14ac:dyDescent="0.25">
      <c r="A18" s="46"/>
      <c r="B18" s="46"/>
      <c r="C18" s="46"/>
      <c r="D18" s="10"/>
      <c r="E18" s="10"/>
      <c r="F18" s="10"/>
      <c r="G18" s="10"/>
      <c r="H18" s="10"/>
      <c r="I18" s="10"/>
      <c r="J18" s="10"/>
      <c r="K18" s="9"/>
      <c r="O18" s="7" t="s">
        <v>46</v>
      </c>
      <c r="P18" s="7" t="s">
        <v>47</v>
      </c>
    </row>
    <row r="19" spans="1:16" x14ac:dyDescent="0.25">
      <c r="A19" s="46" t="s">
        <v>29</v>
      </c>
      <c r="B19" s="46"/>
      <c r="C19" s="46"/>
      <c r="D19" s="10"/>
      <c r="E19" s="10"/>
      <c r="F19" s="10"/>
      <c r="G19" s="10"/>
      <c r="H19" s="10"/>
      <c r="I19" s="10"/>
      <c r="J19" s="10"/>
      <c r="K19" s="9">
        <f>K1/K16</f>
        <v>1.0040035458581626</v>
      </c>
      <c r="N19" s="8" t="s">
        <v>44</v>
      </c>
      <c r="O19" s="9">
        <v>5</v>
      </c>
      <c r="P19" s="9">
        <f>(O19*K4)+SQRT((2*(O19*K7))/K3)</f>
        <v>10</v>
      </c>
    </row>
    <row r="20" spans="1:16" x14ac:dyDescent="0.25">
      <c r="A20" s="46"/>
      <c r="B20" s="46"/>
      <c r="C20" s="46"/>
      <c r="D20" s="10"/>
      <c r="E20" s="10"/>
      <c r="F20" s="10"/>
      <c r="G20" s="10"/>
      <c r="H20" s="10"/>
      <c r="I20" s="10"/>
      <c r="J20" s="10"/>
      <c r="K20" s="9"/>
      <c r="N20" s="8"/>
      <c r="O20" s="9"/>
      <c r="P20" s="9"/>
    </row>
    <row r="21" spans="1:16" x14ac:dyDescent="0.25">
      <c r="A21" s="46"/>
      <c r="B21" s="46"/>
      <c r="C21" s="46"/>
      <c r="D21" s="10"/>
      <c r="E21" s="10"/>
      <c r="F21" s="10"/>
      <c r="G21" s="10"/>
      <c r="H21" s="10"/>
      <c r="I21" s="10"/>
      <c r="J21" s="10"/>
      <c r="K21" s="9"/>
      <c r="N21" s="8" t="s">
        <v>45</v>
      </c>
      <c r="O21" s="9">
        <v>19</v>
      </c>
      <c r="P21" s="9">
        <f>(O21*K4)+(((O21*K7)-K11)/L5)+SQRT((2*K11)/K3)</f>
        <v>28.746825396825397</v>
      </c>
    </row>
    <row r="22" spans="1:16" x14ac:dyDescent="0.25">
      <c r="A22" s="19" t="s">
        <v>28</v>
      </c>
      <c r="B22" s="19"/>
      <c r="C22" s="19"/>
      <c r="D22" s="10"/>
      <c r="E22" s="10"/>
      <c r="F22" s="10"/>
      <c r="G22" s="10"/>
      <c r="H22" s="10"/>
      <c r="I22" s="10"/>
      <c r="J22" s="10"/>
      <c r="K22" s="9" t="str">
        <f>IF(K19&lt;= 1,(-((2*K1*K4)+((2*K7)/K3))^2)-4*(K4^2)*K1^2,"-")</f>
        <v>-</v>
      </c>
      <c r="N22" s="8"/>
      <c r="O22" s="9"/>
      <c r="P22" s="9"/>
    </row>
    <row r="23" spans="1:16" x14ac:dyDescent="0.25">
      <c r="A23" s="19"/>
      <c r="B23" s="19"/>
      <c r="C23" s="19"/>
      <c r="D23" s="10"/>
      <c r="E23" s="10"/>
      <c r="F23" s="10"/>
      <c r="G23" s="10"/>
      <c r="H23" s="10"/>
      <c r="I23" s="10"/>
      <c r="J23" s="10"/>
      <c r="K23" s="9"/>
    </row>
    <row r="24" spans="1:16" x14ac:dyDescent="0.25">
      <c r="A24" s="19"/>
      <c r="B24" s="19"/>
      <c r="C24" s="19"/>
      <c r="D24" s="10"/>
      <c r="E24" s="10"/>
      <c r="F24" s="10"/>
      <c r="G24" s="10"/>
      <c r="H24" s="10"/>
      <c r="I24" s="10"/>
      <c r="J24" s="10"/>
      <c r="K24" s="9"/>
    </row>
    <row r="25" spans="1:16" x14ac:dyDescent="0.25">
      <c r="A25" s="33" t="s">
        <v>27</v>
      </c>
      <c r="B25" s="31"/>
      <c r="C25" s="34"/>
      <c r="D25" s="40"/>
      <c r="E25" s="41"/>
      <c r="F25" s="41"/>
      <c r="G25" s="41"/>
      <c r="H25" s="41"/>
      <c r="I25" s="41"/>
      <c r="J25" s="42"/>
      <c r="K25" s="58" t="str">
        <f>IF(K19&lt;= 1,(((2*K1*K4)+((2*K7)/K3))-SQRT(K22))/(2*(K4^2)),"-")</f>
        <v>-</v>
      </c>
    </row>
    <row r="26" spans="1:16" x14ac:dyDescent="0.25">
      <c r="A26" s="35"/>
      <c r="B26" s="36"/>
      <c r="C26" s="37"/>
      <c r="D26" s="47"/>
      <c r="E26" s="48"/>
      <c r="F26" s="48"/>
      <c r="G26" s="48"/>
      <c r="H26" s="48"/>
      <c r="I26" s="48"/>
      <c r="J26" s="49"/>
      <c r="K26" s="59"/>
    </row>
    <row r="27" spans="1:16" x14ac:dyDescent="0.25">
      <c r="A27" s="38"/>
      <c r="B27" s="32"/>
      <c r="C27" s="39"/>
      <c r="D27" s="43"/>
      <c r="E27" s="44"/>
      <c r="F27" s="44"/>
      <c r="G27" s="44"/>
      <c r="H27" s="44"/>
      <c r="I27" s="44"/>
      <c r="J27" s="45"/>
      <c r="K27" s="20"/>
    </row>
    <row r="28" spans="1:16" x14ac:dyDescent="0.25">
      <c r="A28" s="19" t="s">
        <v>32</v>
      </c>
      <c r="B28" s="19"/>
      <c r="C28" s="19"/>
      <c r="D28" s="10"/>
      <c r="E28" s="10"/>
      <c r="F28" s="10"/>
      <c r="G28" s="10"/>
      <c r="H28" s="10"/>
      <c r="I28" s="10"/>
      <c r="J28" s="10"/>
      <c r="K28" s="9">
        <f>IF(K19&gt;1,((K1*L5)+K11-(L5*SQRT(((2*K11)/K3))))/(K7+(L5*K4)),"-")</f>
        <v>19.996843434343432</v>
      </c>
    </row>
    <row r="29" spans="1:16" x14ac:dyDescent="0.25">
      <c r="A29" s="19"/>
      <c r="B29" s="19"/>
      <c r="C29" s="19"/>
      <c r="D29" s="10"/>
      <c r="E29" s="10"/>
      <c r="F29" s="10"/>
      <c r="G29" s="10"/>
      <c r="H29" s="10"/>
      <c r="I29" s="10"/>
      <c r="J29" s="10"/>
      <c r="K29" s="9"/>
    </row>
    <row r="30" spans="1:16" x14ac:dyDescent="0.25">
      <c r="A30" s="19"/>
      <c r="B30" s="19"/>
      <c r="C30" s="19"/>
      <c r="D30" s="10"/>
      <c r="E30" s="10"/>
      <c r="F30" s="10"/>
      <c r="G30" s="10"/>
      <c r="H30" s="10"/>
      <c r="I30" s="10"/>
      <c r="J30" s="10"/>
      <c r="K30" s="9"/>
    </row>
    <row r="31" spans="1:16" x14ac:dyDescent="0.25">
      <c r="A31" s="19"/>
      <c r="B31" s="19"/>
      <c r="C31" s="19"/>
      <c r="D31" s="10"/>
      <c r="E31" s="10"/>
      <c r="F31" s="10"/>
      <c r="G31" s="10"/>
      <c r="H31" s="10"/>
      <c r="I31" s="10"/>
      <c r="J31" s="10"/>
      <c r="K31" s="9"/>
    </row>
    <row r="32" spans="1:16" ht="15" customHeight="1" x14ac:dyDescent="0.25">
      <c r="A32">
        <f>(A35*2)+SQRT((2*(A35*5))/K3)</f>
        <v>4.2360679774997898</v>
      </c>
      <c r="B32">
        <f>(B35*2)+SQRT((2*(B35*5))/$K$3)</f>
        <v>7.16227766016838</v>
      </c>
      <c r="C32">
        <f t="shared" ref="C32:H32" si="0">(C35*2)+SQRT((2*(C35*5))/$K$3)</f>
        <v>9.8729833462074161</v>
      </c>
      <c r="D32">
        <f t="shared" si="0"/>
        <v>12.47213595499958</v>
      </c>
      <c r="E32">
        <f t="shared" si="0"/>
        <v>15</v>
      </c>
      <c r="F32">
        <f t="shared" si="0"/>
        <v>17.477225575051662</v>
      </c>
      <c r="G32">
        <f t="shared" si="0"/>
        <v>19.916079783099615</v>
      </c>
      <c r="H32">
        <f t="shared" si="0"/>
        <v>22.32455532033676</v>
      </c>
    </row>
    <row r="33" spans="1:27" x14ac:dyDescent="0.25">
      <c r="A33">
        <f t="shared" ref="A33:Z33" si="1">A35*1+SQRT((2*($L$54)/$K$3))+((A36-$L$54)/$L$5)</f>
        <v>6.1182539682539678</v>
      </c>
      <c r="B33">
        <f t="shared" si="1"/>
        <v>7.375396825396825</v>
      </c>
      <c r="C33">
        <f t="shared" si="1"/>
        <v>8.632539682539683</v>
      </c>
      <c r="D33">
        <f t="shared" si="1"/>
        <v>9.8896825396825392</v>
      </c>
      <c r="E33">
        <f t="shared" si="1"/>
        <v>11.146825396825395</v>
      </c>
      <c r="F33">
        <f t="shared" si="1"/>
        <v>12.403968253968253</v>
      </c>
      <c r="G33">
        <f t="shared" si="1"/>
        <v>13.661111111111111</v>
      </c>
      <c r="H33">
        <f t="shared" si="1"/>
        <v>14.918253968253968</v>
      </c>
      <c r="I33">
        <f t="shared" si="1"/>
        <v>16.175396825396824</v>
      </c>
      <c r="J33">
        <f t="shared" si="1"/>
        <v>17.432539682539684</v>
      </c>
      <c r="K33">
        <f t="shared" si="1"/>
        <v>18.68968253968254</v>
      </c>
      <c r="L33">
        <f t="shared" si="1"/>
        <v>19.946825396825396</v>
      </c>
      <c r="M33">
        <f t="shared" si="1"/>
        <v>21.203968253968252</v>
      </c>
      <c r="N33">
        <f t="shared" si="1"/>
        <v>22.461111111111112</v>
      </c>
      <c r="O33">
        <f t="shared" si="1"/>
        <v>23.718253968253968</v>
      </c>
      <c r="P33">
        <f t="shared" si="1"/>
        <v>24.975396825396825</v>
      </c>
      <c r="Q33">
        <f t="shared" si="1"/>
        <v>26.232539682539681</v>
      </c>
      <c r="R33">
        <f t="shared" si="1"/>
        <v>27.489682539682541</v>
      </c>
      <c r="S33">
        <f t="shared" si="1"/>
        <v>28.746825396825397</v>
      </c>
      <c r="T33">
        <f t="shared" si="1"/>
        <v>30.003968253968253</v>
      </c>
      <c r="U33">
        <f t="shared" si="1"/>
        <v>31.261111111111109</v>
      </c>
      <c r="V33">
        <f t="shared" si="1"/>
        <v>32.518253968253966</v>
      </c>
      <c r="W33">
        <f t="shared" si="1"/>
        <v>33.775396825396825</v>
      </c>
      <c r="X33">
        <f t="shared" si="1"/>
        <v>35.032539682539685</v>
      </c>
      <c r="Y33">
        <f t="shared" si="1"/>
        <v>36.289682539682538</v>
      </c>
      <c r="Z33">
        <f t="shared" si="1"/>
        <v>55.146825396825399</v>
      </c>
      <c r="AA33">
        <f>AA35*1+((AA36-$L$54)/$L$5)+ SQRT((2*($L$54)/$K$3))</f>
        <v>105.4325396825397</v>
      </c>
    </row>
    <row r="34" spans="1:27" x14ac:dyDescent="0.25">
      <c r="A34" s="2">
        <f>A35*1+SQRT((2*(A35*5))/K3)</f>
        <v>3.2360679774997898</v>
      </c>
      <c r="B34" s="2">
        <f t="shared" ref="B34:AA34" si="2">B35*1+SQRT((2*(B35*5))/$K$3)</f>
        <v>5.16227766016838</v>
      </c>
      <c r="C34" s="2">
        <f t="shared" si="2"/>
        <v>6.872983346207417</v>
      </c>
      <c r="D34" s="2">
        <f t="shared" si="2"/>
        <v>8.4721359549995796</v>
      </c>
      <c r="E34" s="2">
        <f t="shared" si="2"/>
        <v>10</v>
      </c>
      <c r="F34" s="2">
        <f t="shared" si="2"/>
        <v>11.477225575051662</v>
      </c>
      <c r="G34" s="2">
        <f t="shared" si="2"/>
        <v>12.916079783099615</v>
      </c>
      <c r="H34" s="2">
        <f t="shared" si="2"/>
        <v>14.32455532033676</v>
      </c>
      <c r="I34" s="2">
        <f t="shared" si="2"/>
        <v>15.708203932499369</v>
      </c>
      <c r="J34" s="2">
        <f t="shared" si="2"/>
        <v>17.071067811865476</v>
      </c>
      <c r="K34" s="2">
        <f t="shared" si="2"/>
        <v>18.416198487095663</v>
      </c>
      <c r="L34" s="2">
        <f t="shared" si="2"/>
        <v>19.745966692414832</v>
      </c>
      <c r="M34" s="2">
        <f t="shared" si="2"/>
        <v>21.062257748298549</v>
      </c>
      <c r="N34" s="2">
        <f t="shared" si="2"/>
        <v>22.366600265340757</v>
      </c>
      <c r="O34" s="2">
        <f t="shared" si="2"/>
        <v>23.660254037844389</v>
      </c>
      <c r="P34" s="2">
        <f t="shared" si="2"/>
        <v>24.944271909999159</v>
      </c>
      <c r="Q34" s="2">
        <f t="shared" si="2"/>
        <v>26.219544457292887</v>
      </c>
      <c r="R34" s="2">
        <f t="shared" si="2"/>
        <v>27.486832980505138</v>
      </c>
      <c r="S34" s="2">
        <f t="shared" si="2"/>
        <v>28.746794344808961</v>
      </c>
      <c r="T34" s="2">
        <f t="shared" si="2"/>
        <v>30</v>
      </c>
      <c r="U34" s="2">
        <f t="shared" si="2"/>
        <v>31.246950765959596</v>
      </c>
      <c r="V34" s="2">
        <f t="shared" si="2"/>
        <v>32.488088481701517</v>
      </c>
      <c r="W34" s="2">
        <f t="shared" si="2"/>
        <v>33.723805294763608</v>
      </c>
      <c r="X34" s="2">
        <f t="shared" si="2"/>
        <v>34.954451150103324</v>
      </c>
      <c r="Y34" s="2">
        <f t="shared" si="2"/>
        <v>36.180339887498945</v>
      </c>
      <c r="Z34" s="2">
        <f t="shared" si="2"/>
        <v>54.142135623730951</v>
      </c>
      <c r="AA34" s="2">
        <f t="shared" si="2"/>
        <v>100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3">A35*5</f>
        <v>5</v>
      </c>
      <c r="B36">
        <f t="shared" si="3"/>
        <v>10</v>
      </c>
      <c r="C36">
        <f t="shared" si="3"/>
        <v>15</v>
      </c>
      <c r="D36">
        <f t="shared" si="3"/>
        <v>20</v>
      </c>
      <c r="E36">
        <f t="shared" si="3"/>
        <v>25</v>
      </c>
      <c r="F36">
        <f t="shared" si="3"/>
        <v>30</v>
      </c>
      <c r="G36">
        <f t="shared" si="3"/>
        <v>35</v>
      </c>
      <c r="H36">
        <f t="shared" si="3"/>
        <v>40</v>
      </c>
      <c r="I36">
        <f t="shared" si="3"/>
        <v>45</v>
      </c>
      <c r="J36">
        <f t="shared" si="3"/>
        <v>50</v>
      </c>
      <c r="K36">
        <f t="shared" si="3"/>
        <v>55</v>
      </c>
      <c r="L36">
        <f t="shared" si="3"/>
        <v>60</v>
      </c>
      <c r="M36">
        <f t="shared" si="3"/>
        <v>65</v>
      </c>
      <c r="N36">
        <f t="shared" si="3"/>
        <v>70</v>
      </c>
      <c r="O36">
        <f t="shared" si="3"/>
        <v>75</v>
      </c>
      <c r="P36">
        <f t="shared" si="3"/>
        <v>80</v>
      </c>
      <c r="Q36">
        <f t="shared" si="3"/>
        <v>85</v>
      </c>
      <c r="R36">
        <f>R35*5</f>
        <v>90</v>
      </c>
      <c r="S36">
        <f>S35*5</f>
        <v>95</v>
      </c>
      <c r="T36">
        <v>100</v>
      </c>
      <c r="U36">
        <f t="shared" ref="U36" si="4">U35*5</f>
        <v>105</v>
      </c>
      <c r="V36">
        <f t="shared" ref="V36" si="5">V35*5</f>
        <v>110</v>
      </c>
      <c r="W36">
        <f t="shared" ref="W36" si="6">W35*5</f>
        <v>115</v>
      </c>
      <c r="X36">
        <f t="shared" ref="X36" si="7">X35*5</f>
        <v>120</v>
      </c>
      <c r="Y36">
        <f t="shared" ref="Y36:AA36" si="8">Y35*5</f>
        <v>125</v>
      </c>
      <c r="Z36">
        <f t="shared" si="8"/>
        <v>200</v>
      </c>
      <c r="AA36">
        <f t="shared" si="8"/>
        <v>400</v>
      </c>
    </row>
    <row r="37" spans="1:27" x14ac:dyDescent="0.25">
      <c r="D37" s="4"/>
    </row>
    <row r="38" spans="1:27" x14ac:dyDescent="0.25">
      <c r="D38" s="54" t="s">
        <v>42</v>
      </c>
      <c r="E38" s="10"/>
      <c r="F38" s="10"/>
      <c r="G38" s="10"/>
      <c r="H38" s="10"/>
      <c r="I38" s="10"/>
      <c r="J38" s="10"/>
      <c r="K38" s="10"/>
      <c r="L38" s="51" t="s">
        <v>6</v>
      </c>
      <c r="M38" s="51"/>
      <c r="N38" s="51"/>
      <c r="O38" s="51"/>
      <c r="P38" s="51"/>
      <c r="R38" t="s">
        <v>11</v>
      </c>
      <c r="S38">
        <f>(-(2*V40+((2*V41)/K3))^2)-4*V40^2</f>
        <v>225</v>
      </c>
    </row>
    <row r="39" spans="1:27" x14ac:dyDescent="0.25">
      <c r="D39" s="54"/>
      <c r="E39" s="10"/>
      <c r="F39" s="10"/>
      <c r="G39" s="10"/>
      <c r="H39" s="10"/>
      <c r="I39" s="10"/>
      <c r="J39" s="10"/>
      <c r="K39" s="10"/>
      <c r="L39" s="51"/>
      <c r="M39" s="51"/>
      <c r="N39" s="51"/>
      <c r="O39" s="51"/>
      <c r="P39" s="51"/>
      <c r="R39" t="s">
        <v>12</v>
      </c>
      <c r="S39">
        <f>(((2*V40)+((2*V41)/K3))-SQRT(S38))/2</f>
        <v>5</v>
      </c>
    </row>
    <row r="40" spans="1:27" x14ac:dyDescent="0.25">
      <c r="D40" s="54"/>
      <c r="E40" s="10"/>
      <c r="F40" s="10"/>
      <c r="G40" s="10"/>
      <c r="H40" s="10"/>
      <c r="I40" s="10"/>
      <c r="J40" s="10"/>
      <c r="K40" s="10"/>
      <c r="L40" s="51"/>
      <c r="M40" s="51"/>
      <c r="N40" s="51"/>
      <c r="O40" s="51"/>
      <c r="P40" s="51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54"/>
      <c r="E41" s="10"/>
      <c r="F41" s="10"/>
      <c r="G41" s="10"/>
      <c r="H41" s="10"/>
      <c r="I41" s="10"/>
      <c r="J41" s="10"/>
      <c r="K41" s="10"/>
      <c r="L41" s="57" t="s">
        <v>8</v>
      </c>
      <c r="M41" s="57"/>
      <c r="N41" s="57"/>
      <c r="O41" s="57"/>
      <c r="P41" s="57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54"/>
      <c r="E42" s="10"/>
      <c r="F42" s="10"/>
      <c r="G42" s="10"/>
      <c r="H42" s="10"/>
      <c r="I42" s="10"/>
      <c r="J42" s="10"/>
      <c r="K42" s="10"/>
      <c r="L42" s="57"/>
      <c r="M42" s="57"/>
      <c r="N42" s="57"/>
      <c r="O42" s="57"/>
      <c r="P42" s="57"/>
    </row>
    <row r="43" spans="1:27" x14ac:dyDescent="0.25">
      <c r="D43" s="54"/>
      <c r="E43" s="10"/>
      <c r="F43" s="10"/>
      <c r="G43" s="10"/>
      <c r="H43" s="10"/>
      <c r="I43" s="10"/>
      <c r="J43" s="10"/>
      <c r="K43" s="10"/>
      <c r="L43" s="57"/>
      <c r="M43" s="57"/>
      <c r="N43" s="57"/>
      <c r="O43" s="57"/>
      <c r="P43" s="57"/>
    </row>
    <row r="44" spans="1:27" x14ac:dyDescent="0.25">
      <c r="D44" s="54"/>
      <c r="E44" s="10"/>
      <c r="F44" s="10"/>
      <c r="G44" s="10"/>
      <c r="H44" s="10"/>
      <c r="I44" s="10"/>
      <c r="J44" s="10"/>
      <c r="K44" s="10"/>
      <c r="L44" s="52" t="s">
        <v>7</v>
      </c>
      <c r="M44" s="53"/>
      <c r="N44" s="53"/>
      <c r="O44" s="53"/>
      <c r="P44" s="53"/>
      <c r="U44" s="1" t="s">
        <v>4</v>
      </c>
      <c r="V44" s="1">
        <v>10</v>
      </c>
    </row>
    <row r="45" spans="1:27" x14ac:dyDescent="0.25">
      <c r="D45" s="54"/>
      <c r="E45" s="10"/>
      <c r="F45" s="10"/>
      <c r="G45" s="10"/>
      <c r="H45" s="10"/>
      <c r="I45" s="10"/>
      <c r="J45" s="10"/>
      <c r="K45" s="10"/>
      <c r="L45" s="53"/>
      <c r="M45" s="53"/>
      <c r="N45" s="53"/>
      <c r="O45" s="53"/>
      <c r="P45" s="53"/>
      <c r="R45" s="1" t="s">
        <v>3</v>
      </c>
      <c r="S45" s="1">
        <f>((V44*L5)+L54-(L5*SQRT(((2*L54)/K3))))/(V45+L5)</f>
        <v>4.0877525252525269</v>
      </c>
      <c r="U45" s="1" t="s">
        <v>5</v>
      </c>
      <c r="V45" s="1">
        <v>5</v>
      </c>
    </row>
    <row r="46" spans="1:27" x14ac:dyDescent="0.25">
      <c r="D46" s="54"/>
      <c r="E46" s="10"/>
      <c r="F46" s="10"/>
      <c r="G46" s="10"/>
      <c r="H46" s="10"/>
      <c r="I46" s="10"/>
      <c r="J46" s="10"/>
      <c r="K46" s="10"/>
      <c r="L46" s="53"/>
      <c r="M46" s="53"/>
      <c r="N46" s="53"/>
      <c r="O46" s="53"/>
      <c r="P46" s="53"/>
    </row>
    <row r="47" spans="1:27" x14ac:dyDescent="0.25">
      <c r="D47" s="54"/>
      <c r="E47" s="10"/>
      <c r="F47" s="10"/>
      <c r="G47" s="10"/>
      <c r="H47" s="10"/>
      <c r="I47" s="10"/>
      <c r="J47" s="10"/>
      <c r="K47" s="10"/>
      <c r="L47" s="52" t="s">
        <v>9</v>
      </c>
      <c r="M47" s="52"/>
      <c r="N47" s="52"/>
      <c r="O47" s="52"/>
      <c r="P47" s="52"/>
    </row>
    <row r="48" spans="1:27" x14ac:dyDescent="0.25">
      <c r="D48" s="54"/>
      <c r="E48" s="10"/>
      <c r="F48" s="10"/>
      <c r="G48" s="10"/>
      <c r="H48" s="10"/>
      <c r="I48" s="10"/>
      <c r="J48" s="10"/>
      <c r="K48" s="10"/>
      <c r="L48" s="52"/>
      <c r="M48" s="52"/>
      <c r="N48" s="52"/>
      <c r="O48" s="52"/>
      <c r="P48" s="52"/>
    </row>
    <row r="49" spans="4:16" x14ac:dyDescent="0.25">
      <c r="D49" s="54"/>
      <c r="E49" s="10"/>
      <c r="F49" s="10"/>
      <c r="G49" s="10"/>
      <c r="H49" s="10"/>
      <c r="I49" s="10"/>
      <c r="J49" s="10"/>
      <c r="K49" s="10"/>
      <c r="L49" s="52"/>
      <c r="M49" s="52"/>
      <c r="N49" s="52"/>
      <c r="O49" s="52"/>
      <c r="P49" s="52"/>
    </row>
    <row r="50" spans="4:16" x14ac:dyDescent="0.25">
      <c r="D50" s="54"/>
      <c r="E50" s="10"/>
      <c r="F50" s="10"/>
      <c r="G50" s="10"/>
      <c r="H50" s="10"/>
      <c r="I50" s="10"/>
      <c r="J50" s="10"/>
      <c r="K50" s="10"/>
      <c r="L50" s="52" t="s">
        <v>10</v>
      </c>
      <c r="M50" s="52"/>
      <c r="N50" s="52"/>
      <c r="O50" s="52"/>
      <c r="P50" s="52"/>
    </row>
    <row r="51" spans="4:16" x14ac:dyDescent="0.25">
      <c r="D51" s="54"/>
      <c r="E51" s="10"/>
      <c r="F51" s="10"/>
      <c r="G51" s="10"/>
      <c r="H51" s="10"/>
      <c r="I51" s="10"/>
      <c r="J51" s="10"/>
      <c r="K51" s="10"/>
      <c r="L51" s="52"/>
      <c r="M51" s="52"/>
      <c r="N51" s="52"/>
      <c r="O51" s="52"/>
      <c r="P51" s="52"/>
    </row>
    <row r="52" spans="4:16" ht="15" customHeight="1" x14ac:dyDescent="0.25">
      <c r="D52" s="54"/>
      <c r="E52" s="10"/>
      <c r="F52" s="10"/>
      <c r="G52" s="10"/>
      <c r="H52" s="10"/>
      <c r="I52" s="10"/>
      <c r="J52" s="10"/>
      <c r="K52" s="10"/>
      <c r="L52" s="52"/>
      <c r="M52" s="52"/>
      <c r="N52" s="52"/>
      <c r="O52" s="52"/>
      <c r="P52" s="52"/>
    </row>
    <row r="53" spans="4:16" x14ac:dyDescent="0.25">
      <c r="D53" s="54"/>
      <c r="E53" s="10"/>
      <c r="F53" s="10"/>
      <c r="G53" s="10"/>
      <c r="H53" s="10"/>
      <c r="I53" s="10"/>
      <c r="J53" s="10"/>
      <c r="K53" s="10"/>
      <c r="L53" s="52"/>
      <c r="M53" s="52"/>
      <c r="N53" s="52"/>
      <c r="O53" s="52"/>
      <c r="P53" s="52"/>
    </row>
    <row r="54" spans="4:16" x14ac:dyDescent="0.25">
      <c r="D54" s="4"/>
      <c r="J54" s="10"/>
      <c r="K54" s="10"/>
      <c r="L54" s="9">
        <f>0*K9+((K3*(K9^2))/2)</f>
        <v>94.521604938271594</v>
      </c>
    </row>
    <row r="55" spans="4:16" x14ac:dyDescent="0.25">
      <c r="D55" s="4"/>
      <c r="J55" s="10"/>
      <c r="K55" s="10"/>
      <c r="L55" s="9"/>
    </row>
    <row r="56" spans="4:16" x14ac:dyDescent="0.25">
      <c r="D56" s="4"/>
    </row>
    <row r="57" spans="4:16" x14ac:dyDescent="0.25">
      <c r="D57" s="4"/>
    </row>
    <row r="58" spans="4:16" x14ac:dyDescent="0.25">
      <c r="D58" s="60" t="s">
        <v>21</v>
      </c>
      <c r="E58" s="10"/>
      <c r="F58" s="10"/>
      <c r="G58" s="10"/>
      <c r="H58" s="10"/>
      <c r="I58" s="10"/>
      <c r="J58" s="52" t="s">
        <v>13</v>
      </c>
      <c r="K58" s="52"/>
      <c r="L58" s="52"/>
      <c r="M58" s="52"/>
      <c r="N58" s="52"/>
    </row>
    <row r="59" spans="4:16" x14ac:dyDescent="0.25">
      <c r="D59" s="60"/>
      <c r="E59" s="10"/>
      <c r="F59" s="10"/>
      <c r="G59" s="10"/>
      <c r="H59" s="10"/>
      <c r="I59" s="10"/>
      <c r="J59" s="52"/>
      <c r="K59" s="52"/>
      <c r="L59" s="52"/>
      <c r="M59" s="52"/>
      <c r="N59" s="52"/>
    </row>
    <row r="60" spans="4:16" x14ac:dyDescent="0.25">
      <c r="D60" s="60"/>
      <c r="E60" s="10"/>
      <c r="F60" s="10"/>
      <c r="G60" s="10"/>
      <c r="H60" s="10"/>
      <c r="I60" s="10"/>
      <c r="J60" s="52"/>
      <c r="K60" s="52"/>
      <c r="L60" s="52"/>
      <c r="M60" s="52"/>
      <c r="N60" s="52"/>
    </row>
    <row r="61" spans="4:16" x14ac:dyDescent="0.25">
      <c r="D61" s="60"/>
      <c r="E61" s="10"/>
      <c r="F61" s="10"/>
      <c r="G61" s="10"/>
      <c r="H61" s="10"/>
      <c r="I61" s="10"/>
      <c r="J61" s="57" t="s">
        <v>14</v>
      </c>
      <c r="K61" s="57"/>
      <c r="L61" s="57"/>
      <c r="M61" s="57"/>
      <c r="N61" s="57"/>
    </row>
    <row r="62" spans="4:16" x14ac:dyDescent="0.25">
      <c r="D62" s="60"/>
      <c r="E62" s="10"/>
      <c r="F62" s="10"/>
      <c r="G62" s="10"/>
      <c r="H62" s="10"/>
      <c r="I62" s="10"/>
      <c r="J62" s="57"/>
      <c r="K62" s="57"/>
      <c r="L62" s="57"/>
      <c r="M62" s="57"/>
      <c r="N62" s="57"/>
    </row>
    <row r="63" spans="4:16" x14ac:dyDescent="0.25">
      <c r="D63" s="60"/>
      <c r="E63" s="10"/>
      <c r="F63" s="10"/>
      <c r="G63" s="10"/>
      <c r="H63" s="10"/>
      <c r="I63" s="10"/>
      <c r="J63" s="57"/>
      <c r="K63" s="57"/>
      <c r="L63" s="57"/>
      <c r="M63" s="57"/>
      <c r="N63" s="57"/>
    </row>
    <row r="64" spans="4:16" x14ac:dyDescent="0.25">
      <c r="D64" s="60"/>
      <c r="E64" s="10"/>
      <c r="F64" s="10"/>
      <c r="G64" s="10"/>
      <c r="H64" s="10"/>
      <c r="I64" s="10"/>
      <c r="J64" s="52" t="s">
        <v>15</v>
      </c>
      <c r="K64" s="52"/>
      <c r="L64" s="52"/>
      <c r="M64" s="52"/>
      <c r="N64" s="52"/>
    </row>
    <row r="65" spans="4:14" x14ac:dyDescent="0.25">
      <c r="D65" s="60"/>
      <c r="E65" s="10"/>
      <c r="F65" s="10"/>
      <c r="G65" s="10"/>
      <c r="H65" s="10"/>
      <c r="I65" s="10"/>
      <c r="J65" s="52"/>
      <c r="K65" s="52"/>
      <c r="L65" s="52"/>
      <c r="M65" s="52"/>
      <c r="N65" s="52"/>
    </row>
    <row r="66" spans="4:14" x14ac:dyDescent="0.25">
      <c r="D66" s="60"/>
      <c r="E66" s="10"/>
      <c r="F66" s="10"/>
      <c r="G66" s="10"/>
      <c r="H66" s="10"/>
      <c r="I66" s="10"/>
      <c r="J66" s="52"/>
      <c r="K66" s="52"/>
      <c r="L66" s="52"/>
      <c r="M66" s="52"/>
      <c r="N66" s="52"/>
    </row>
    <row r="67" spans="4:14" x14ac:dyDescent="0.25">
      <c r="D67" s="60"/>
      <c r="E67" s="10"/>
      <c r="F67" s="10"/>
      <c r="G67" s="10"/>
      <c r="H67" s="10"/>
      <c r="I67" s="10"/>
      <c r="J67" s="57" t="s">
        <v>16</v>
      </c>
      <c r="K67" s="57"/>
      <c r="L67" s="57"/>
      <c r="M67" s="57"/>
      <c r="N67" s="57"/>
    </row>
    <row r="68" spans="4:14" x14ac:dyDescent="0.25">
      <c r="D68" s="60"/>
      <c r="E68" s="10"/>
      <c r="F68" s="10"/>
      <c r="G68" s="10"/>
      <c r="H68" s="10"/>
      <c r="I68" s="10"/>
      <c r="J68" s="57"/>
      <c r="K68" s="57"/>
      <c r="L68" s="57"/>
      <c r="M68" s="57"/>
      <c r="N68" s="57"/>
    </row>
    <row r="69" spans="4:14" x14ac:dyDescent="0.25">
      <c r="D69" s="60"/>
      <c r="E69" s="10"/>
      <c r="F69" s="10"/>
      <c r="G69" s="10"/>
      <c r="H69" s="10"/>
      <c r="I69" s="10"/>
      <c r="J69" s="57"/>
      <c r="K69" s="57"/>
      <c r="L69" s="57"/>
      <c r="M69" s="57"/>
      <c r="N69" s="57"/>
    </row>
    <row r="70" spans="4:14" x14ac:dyDescent="0.25">
      <c r="D70" s="60"/>
      <c r="E70" s="10"/>
      <c r="F70" s="10"/>
      <c r="G70" s="10"/>
      <c r="H70" s="10"/>
      <c r="I70" s="10"/>
      <c r="J70" s="57" t="s">
        <v>17</v>
      </c>
      <c r="K70" s="57"/>
      <c r="L70" s="57"/>
      <c r="M70" s="57"/>
      <c r="N70" s="57"/>
    </row>
    <row r="71" spans="4:14" x14ac:dyDescent="0.25">
      <c r="D71" s="60"/>
      <c r="E71" s="10"/>
      <c r="F71" s="10"/>
      <c r="G71" s="10"/>
      <c r="H71" s="10"/>
      <c r="I71" s="10"/>
      <c r="J71" s="57"/>
      <c r="K71" s="57"/>
      <c r="L71" s="57"/>
      <c r="M71" s="57"/>
      <c r="N71" s="57"/>
    </row>
    <row r="72" spans="4:14" x14ac:dyDescent="0.25">
      <c r="D72" s="60"/>
      <c r="E72" s="10"/>
      <c r="F72" s="10"/>
      <c r="G72" s="10"/>
      <c r="H72" s="10"/>
      <c r="I72" s="10"/>
      <c r="J72" s="57"/>
      <c r="K72" s="57"/>
      <c r="L72" s="57"/>
      <c r="M72" s="57"/>
      <c r="N72" s="57"/>
    </row>
    <row r="73" spans="4:14" x14ac:dyDescent="0.25">
      <c r="D73" s="60"/>
      <c r="E73" s="10"/>
      <c r="F73" s="10"/>
      <c r="G73" s="10"/>
      <c r="H73" s="10"/>
      <c r="I73" s="10"/>
      <c r="J73" s="52" t="s">
        <v>18</v>
      </c>
      <c r="K73" s="52"/>
      <c r="L73" s="52"/>
      <c r="M73" s="52"/>
      <c r="N73" s="52"/>
    </row>
    <row r="74" spans="4:14" x14ac:dyDescent="0.25">
      <c r="D74" s="60"/>
      <c r="E74" s="10"/>
      <c r="F74" s="10"/>
      <c r="G74" s="10"/>
      <c r="H74" s="10"/>
      <c r="I74" s="10"/>
      <c r="J74" s="52"/>
      <c r="K74" s="52"/>
      <c r="L74" s="52"/>
      <c r="M74" s="52"/>
      <c r="N74" s="52"/>
    </row>
    <row r="75" spans="4:14" x14ac:dyDescent="0.25">
      <c r="D75" s="60"/>
      <c r="E75" s="10"/>
      <c r="F75" s="10"/>
      <c r="G75" s="10"/>
      <c r="H75" s="10"/>
      <c r="I75" s="10"/>
      <c r="J75" s="52"/>
      <c r="K75" s="52"/>
      <c r="L75" s="52"/>
      <c r="M75" s="52"/>
      <c r="N75" s="52"/>
    </row>
    <row r="76" spans="4:14" x14ac:dyDescent="0.25">
      <c r="D76" s="60"/>
      <c r="E76" s="10"/>
      <c r="F76" s="10"/>
      <c r="G76" s="10"/>
      <c r="H76" s="10"/>
      <c r="I76" s="10"/>
      <c r="J76" s="52"/>
      <c r="K76" s="52"/>
      <c r="L76" s="52"/>
      <c r="M76" s="52"/>
      <c r="N76" s="52"/>
    </row>
    <row r="77" spans="4:14" x14ac:dyDescent="0.25">
      <c r="D77" s="60"/>
      <c r="E77" s="10"/>
      <c r="F77" s="10"/>
      <c r="G77" s="10"/>
      <c r="H77" s="10"/>
      <c r="I77" s="10"/>
      <c r="J77" s="52"/>
      <c r="K77" s="52"/>
      <c r="L77" s="52"/>
      <c r="M77" s="52"/>
      <c r="N77" s="52"/>
    </row>
    <row r="78" spans="4:14" x14ac:dyDescent="0.25">
      <c r="D78" s="60"/>
      <c r="E78" s="10"/>
      <c r="F78" s="10"/>
      <c r="G78" s="10"/>
      <c r="H78" s="10"/>
      <c r="I78" s="10"/>
      <c r="J78" s="52"/>
      <c r="K78" s="52"/>
      <c r="L78" s="52"/>
      <c r="M78" s="52"/>
      <c r="N78" s="52"/>
    </row>
    <row r="79" spans="4:14" x14ac:dyDescent="0.25">
      <c r="D79" s="60"/>
      <c r="E79" s="10"/>
      <c r="F79" s="10"/>
      <c r="G79" s="10"/>
      <c r="H79" s="10"/>
      <c r="I79" s="10"/>
      <c r="J79" s="57" t="s">
        <v>19</v>
      </c>
      <c r="K79" s="57"/>
      <c r="L79" s="57"/>
      <c r="M79" s="57"/>
      <c r="N79" s="57"/>
    </row>
    <row r="80" spans="4:14" x14ac:dyDescent="0.25">
      <c r="D80" s="60"/>
      <c r="E80" s="10"/>
      <c r="F80" s="10"/>
      <c r="G80" s="10"/>
      <c r="H80" s="10"/>
      <c r="I80" s="10"/>
      <c r="J80" s="57"/>
      <c r="K80" s="57"/>
      <c r="L80" s="57"/>
      <c r="M80" s="57"/>
      <c r="N80" s="57"/>
    </row>
    <row r="81" spans="4:14" x14ac:dyDescent="0.25">
      <c r="D81" s="60"/>
      <c r="E81" s="10"/>
      <c r="F81" s="10"/>
      <c r="G81" s="10"/>
      <c r="H81" s="10"/>
      <c r="I81" s="10"/>
      <c r="J81" s="57"/>
      <c r="K81" s="57"/>
      <c r="L81" s="57"/>
      <c r="M81" s="57"/>
      <c r="N81" s="57"/>
    </row>
    <row r="82" spans="4:14" x14ac:dyDescent="0.25">
      <c r="D82" s="60"/>
      <c r="E82" s="10"/>
      <c r="F82" s="10"/>
      <c r="G82" s="10"/>
      <c r="H82" s="10"/>
      <c r="I82" s="10"/>
      <c r="J82" s="62" t="s">
        <v>20</v>
      </c>
      <c r="K82" s="62"/>
      <c r="L82" s="62"/>
      <c r="M82" s="62"/>
      <c r="N82" s="62"/>
    </row>
    <row r="83" spans="4:14" x14ac:dyDescent="0.25">
      <c r="D83" s="60"/>
      <c r="E83" s="10"/>
      <c r="F83" s="10"/>
      <c r="G83" s="10"/>
      <c r="H83" s="10"/>
      <c r="I83" s="10"/>
      <c r="J83" s="62"/>
      <c r="K83" s="62"/>
      <c r="L83" s="62"/>
      <c r="M83" s="62"/>
      <c r="N83" s="62"/>
    </row>
    <row r="84" spans="4:14" x14ac:dyDescent="0.25">
      <c r="D84" s="60"/>
      <c r="E84" s="10"/>
      <c r="F84" s="10"/>
      <c r="G84" s="10"/>
      <c r="H84" s="10"/>
      <c r="I84" s="10"/>
      <c r="J84" s="62"/>
      <c r="K84" s="62"/>
      <c r="L84" s="62"/>
      <c r="M84" s="62"/>
      <c r="N84" s="62"/>
    </row>
    <row r="85" spans="4:14" x14ac:dyDescent="0.25">
      <c r="D85" s="60"/>
      <c r="E85" s="10"/>
      <c r="F85" s="10"/>
      <c r="G85" s="10"/>
      <c r="H85" s="10"/>
      <c r="I85" s="10"/>
      <c r="J85" s="62"/>
      <c r="K85" s="62"/>
      <c r="L85" s="62"/>
      <c r="M85" s="62"/>
      <c r="N85" s="62"/>
    </row>
    <row r="86" spans="4:14" x14ac:dyDescent="0.25">
      <c r="D86" s="60"/>
      <c r="E86" s="10"/>
      <c r="F86" s="10"/>
      <c r="G86" s="10"/>
      <c r="H86" s="10"/>
      <c r="I86" s="10"/>
      <c r="J86" s="62"/>
      <c r="K86" s="62"/>
      <c r="L86" s="62"/>
      <c r="M86" s="62"/>
      <c r="N86" s="62"/>
    </row>
    <row r="87" spans="4:14" x14ac:dyDescent="0.25">
      <c r="D87" s="60"/>
      <c r="E87" s="10"/>
      <c r="F87" s="10"/>
      <c r="G87" s="10"/>
      <c r="H87" s="10"/>
      <c r="I87" s="10"/>
      <c r="J87" s="62"/>
      <c r="K87" s="62"/>
      <c r="L87" s="62"/>
      <c r="M87" s="62"/>
      <c r="N87" s="62"/>
    </row>
  </sheetData>
  <mergeCells count="100">
    <mergeCell ref="W12:W13"/>
    <mergeCell ref="Q4:T5"/>
    <mergeCell ref="U4:U5"/>
    <mergeCell ref="N6:P7"/>
    <mergeCell ref="Q6:T7"/>
    <mergeCell ref="U6:U7"/>
    <mergeCell ref="N10:P11"/>
    <mergeCell ref="Q10:T11"/>
    <mergeCell ref="N8:P9"/>
    <mergeCell ref="Q8:T9"/>
    <mergeCell ref="U8:U9"/>
    <mergeCell ref="U10:U11"/>
    <mergeCell ref="Q1:T3"/>
    <mergeCell ref="N1:P3"/>
    <mergeCell ref="U1:U3"/>
    <mergeCell ref="J82:N87"/>
    <mergeCell ref="E82:I84"/>
    <mergeCell ref="E85:I87"/>
    <mergeCell ref="J67:N69"/>
    <mergeCell ref="J70:N72"/>
    <mergeCell ref="E79:I81"/>
    <mergeCell ref="E73:I75"/>
    <mergeCell ref="E76:I78"/>
    <mergeCell ref="J79:N81"/>
    <mergeCell ref="J73:N78"/>
    <mergeCell ref="E67:I69"/>
    <mergeCell ref="E70:I72"/>
    <mergeCell ref="D3:J3"/>
    <mergeCell ref="J64:N66"/>
    <mergeCell ref="E61:I63"/>
    <mergeCell ref="E64:I66"/>
    <mergeCell ref="D58:D87"/>
    <mergeCell ref="J58:N60"/>
    <mergeCell ref="E58:I60"/>
    <mergeCell ref="L5:L6"/>
    <mergeCell ref="A2:C2"/>
    <mergeCell ref="D2:J2"/>
    <mergeCell ref="N4:P5"/>
    <mergeCell ref="J61:N63"/>
    <mergeCell ref="L41:P43"/>
    <mergeCell ref="L47:P49"/>
    <mergeCell ref="L50:P53"/>
    <mergeCell ref="K25:K27"/>
    <mergeCell ref="D22:J24"/>
    <mergeCell ref="K22:K24"/>
    <mergeCell ref="A9:C10"/>
    <mergeCell ref="D28:J31"/>
    <mergeCell ref="K28:K31"/>
    <mergeCell ref="A16:C18"/>
    <mergeCell ref="D16:J18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A28:C31"/>
    <mergeCell ref="K16:K18"/>
    <mergeCell ref="D19:J21"/>
    <mergeCell ref="K19:K21"/>
    <mergeCell ref="A19:C21"/>
    <mergeCell ref="A25:C27"/>
    <mergeCell ref="A22:C24"/>
    <mergeCell ref="D25:J27"/>
    <mergeCell ref="A3:C3"/>
    <mergeCell ref="D4:J4"/>
    <mergeCell ref="A4:C4"/>
    <mergeCell ref="N14:P15"/>
    <mergeCell ref="Q14:T15"/>
    <mergeCell ref="A7:C8"/>
    <mergeCell ref="K7:K8"/>
    <mergeCell ref="A5:C6"/>
    <mergeCell ref="D5:J6"/>
    <mergeCell ref="K5:K6"/>
    <mergeCell ref="A14:C15"/>
    <mergeCell ref="D14:J15"/>
    <mergeCell ref="K14:K15"/>
    <mergeCell ref="A11:C13"/>
    <mergeCell ref="K9:K10"/>
    <mergeCell ref="D9:J10"/>
    <mergeCell ref="U14:U15"/>
    <mergeCell ref="V12:V13"/>
    <mergeCell ref="Q12:T13"/>
    <mergeCell ref="N12:P13"/>
    <mergeCell ref="U12:U13"/>
    <mergeCell ref="N19:N20"/>
    <mergeCell ref="O19:O20"/>
    <mergeCell ref="P19:P20"/>
    <mergeCell ref="N21:N22"/>
    <mergeCell ref="O21:O22"/>
    <mergeCell ref="P21:P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2023-11-15T17:33:03Z</dcterms:modified>
</cp:coreProperties>
</file>