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C8B43A03-390B-4D8E-9A28-C09CBCC2DC3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" i="1" l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C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K14" i="1" l="1"/>
  <c r="L54" i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6" i="1"/>
  <c r="K19" i="1" s="1"/>
  <c r="S45" i="1"/>
  <c r="V33" i="1"/>
  <c r="U33" i="1"/>
  <c r="AA33" i="1"/>
  <c r="S33" i="1"/>
  <c r="Y33" i="1"/>
  <c r="W33" i="1"/>
  <c r="Z33" i="1"/>
  <c r="K28" i="1" l="1"/>
  <c r="K22" i="1"/>
  <c r="K25" i="1" s="1"/>
  <c r="U1" i="1" s="1"/>
</calcChain>
</file>

<file path=xl/sharedStrings.xml><?xml version="1.0" encoding="utf-8"?>
<sst xmlns="http://schemas.openxmlformats.org/spreadsheetml/2006/main" count="43" uniqueCount="39">
  <si>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</si>
  <si>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</si>
  <si>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</si>
  <si>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</si>
  <si>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</si>
  <si>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</si>
  <si>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</si>
  <si>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</si>
  <si>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</si>
  <si>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</si>
  <si>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</si>
  <si>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</si>
  <si>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</si>
  <si>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</si>
  <si>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</si>
  <si>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</si>
  <si>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</si>
  <si>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</si>
  <si>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</si>
  <si>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</si>
  <si>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</si>
  <si>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постоянной скорости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</si>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</sst>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4" fillId="0" borderId="0" xfId="0" applyFont="1" applyAlignment="1">
      <alignment vertical="center" textRotation="90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4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textRotation="90"/>
    </xf>
    <xf numFmtId="0" fontId="3" fillId="0" borderId="1" xfId="0" applyFont="1" applyBorder="1" applyAlignment="1">
      <alignment horizontal="left" vertical="center" wrapText="1"/>
    </xf>
    <xf numFmtId="0" fontId="0" fillId="2" borderId="13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2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wrapText="1"/>
    </xf>
    <xf numFmtId="0" fontId="0" fillId="4" borderId="1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579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609578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∗1 сек)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129896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354269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〖((𝐾∗𝐿〗_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273670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4933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184871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151949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397569</xdr:colOff>
      <xdr:row>69</xdr:row>
      <xdr:rowOff>182218</xdr:rowOff>
    </xdr:from>
    <xdr:ext cx="24930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𝑡^2−2𝑡𝐾+𝐾^2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511863</xdr:colOff>
      <xdr:row>72</xdr:row>
      <xdr:rowOff>115957</xdr:rowOff>
    </xdr:from>
    <xdr:ext cx="2246246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2−2𝑡𝐾+𝑡^2−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387627</xdr:colOff>
      <xdr:row>75</xdr:row>
      <xdr:rowOff>106015</xdr:rowOff>
    </xdr:from>
    <xdr:ext cx="247484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101046</xdr:colOff>
      <xdr:row>78</xdr:row>
      <xdr:rowOff>59634</xdr:rowOff>
    </xdr:from>
    <xdr:ext cx="184986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313083</xdr:colOff>
      <xdr:row>81</xdr:row>
      <xdr:rowOff>72887</xdr:rowOff>
    </xdr:from>
    <xdr:ext cx="1438920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940642" cy="3179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11</xdr:col>
      <xdr:colOff>230256</xdr:colOff>
      <xdr:row>14</xdr:row>
      <xdr:rowOff>188843</xdr:rowOff>
    </xdr:from>
    <xdr:ext cx="65" cy="172227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F61360C-FE7C-BBA5-4652-B6CEEC829F11}"/>
            </a:ext>
          </a:extLst>
        </xdr:cNvPr>
        <xdr:cNvSpPr txBox="1"/>
      </xdr:nvSpPr>
      <xdr:spPr>
        <a:xfrm>
          <a:off x="7262191" y="254110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528426</xdr:colOff>
      <xdr:row>24</xdr:row>
      <xdr:rowOff>81165</xdr:rowOff>
    </xdr:from>
    <xdr:ext cx="2153025" cy="4315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89446</xdr:colOff>
      <xdr:row>21</xdr:row>
      <xdr:rowOff>81168</xdr:rowOff>
    </xdr:from>
    <xdr:ext cx="3300775" cy="4138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zoomScale="115" zoomScaleNormal="115" workbookViewId="0">
      <selection activeCell="N11" sqref="N11"/>
    </sheetView>
  </sheetViews>
  <sheetFormatPr defaultRowHeight="15" x14ac:dyDescent="0.25"/>
  <cols>
    <col min="1" max="2" width="10.5703125" customWidth="1"/>
    <col min="4" max="4" width="9.140625" customWidth="1"/>
    <col min="11" max="11" width="10.85546875" bestFit="1" customWidth="1"/>
    <col min="14" max="14" width="21" customWidth="1"/>
    <col min="19" max="19" width="14.7109375" customWidth="1"/>
  </cols>
  <sheetData>
    <row r="1" spans="1:21" x14ac:dyDescent="0.25">
      <c r="A1" s="7" t="s">
        <v>0</v>
      </c>
      <c r="B1" s="7"/>
      <c r="C1" s="50"/>
      <c r="D1" s="42"/>
      <c r="E1" s="42"/>
      <c r="F1" s="42"/>
      <c r="G1" s="42"/>
      <c r="H1" s="42"/>
      <c r="I1" s="42"/>
      <c r="J1" s="42"/>
      <c r="K1" s="51">
        <v>15</v>
      </c>
      <c r="N1" s="52" t="s">
        <v>35</v>
      </c>
      <c r="O1" s="52"/>
      <c r="P1" s="52"/>
      <c r="Q1" s="35"/>
      <c r="R1" s="35"/>
      <c r="S1" s="35"/>
      <c r="T1" s="35"/>
      <c r="U1" s="5">
        <f>IF(K25="-",(3600/(K1+K2))*K28,(3600/(K1+K2))*K25)</f>
        <v>509.16730868040162</v>
      </c>
    </row>
    <row r="2" spans="1:21" x14ac:dyDescent="0.25">
      <c r="A2" s="49" t="s">
        <v>34</v>
      </c>
      <c r="B2" s="49"/>
      <c r="C2" s="49"/>
      <c r="D2" s="35"/>
      <c r="E2" s="35"/>
      <c r="F2" s="35"/>
      <c r="G2" s="35"/>
      <c r="H2" s="35"/>
      <c r="I2" s="35"/>
      <c r="J2" s="35"/>
      <c r="K2" s="3">
        <v>45</v>
      </c>
      <c r="N2" s="52"/>
      <c r="O2" s="52"/>
      <c r="P2" s="52"/>
      <c r="Q2" s="35"/>
      <c r="R2" s="35"/>
      <c r="S2" s="35"/>
      <c r="T2" s="35"/>
      <c r="U2" s="5"/>
    </row>
    <row r="3" spans="1:21" ht="15" customHeight="1" x14ac:dyDescent="0.25">
      <c r="A3" s="7" t="s">
        <v>1</v>
      </c>
      <c r="B3" s="7"/>
      <c r="C3" s="7"/>
      <c r="D3" s="6" t="s">
        <v>27</v>
      </c>
      <c r="E3" s="6"/>
      <c r="F3" s="6"/>
      <c r="G3" s="6"/>
      <c r="H3" s="6"/>
      <c r="I3" s="6"/>
      <c r="J3" s="6"/>
      <c r="K3" s="5">
        <v>2</v>
      </c>
      <c r="N3" s="52"/>
      <c r="O3" s="52"/>
      <c r="P3" s="52"/>
      <c r="Q3" s="35"/>
      <c r="R3" s="35"/>
      <c r="S3" s="35"/>
      <c r="T3" s="35"/>
      <c r="U3" s="5"/>
    </row>
    <row r="4" spans="1:21" ht="15.75" customHeight="1" x14ac:dyDescent="0.25">
      <c r="A4" s="7"/>
      <c r="B4" s="7"/>
      <c r="C4" s="7"/>
      <c r="D4" s="6"/>
      <c r="E4" s="6"/>
      <c r="F4" s="6"/>
      <c r="G4" s="6"/>
      <c r="H4" s="6"/>
      <c r="I4" s="6"/>
      <c r="J4" s="6"/>
      <c r="K4" s="5"/>
      <c r="N4" s="53" t="s">
        <v>36</v>
      </c>
      <c r="O4" s="53"/>
      <c r="P4" s="53"/>
      <c r="Q4" s="6" t="s">
        <v>37</v>
      </c>
      <c r="R4" s="5"/>
      <c r="S4" s="5"/>
      <c r="T4" s="5"/>
      <c r="U4" s="5">
        <v>728</v>
      </c>
    </row>
    <row r="5" spans="1:21" ht="16.5" customHeight="1" x14ac:dyDescent="0.25">
      <c r="A5" s="10" t="s">
        <v>24</v>
      </c>
      <c r="B5" s="10"/>
      <c r="C5" s="11"/>
      <c r="D5" s="14"/>
      <c r="E5" s="15"/>
      <c r="F5" s="15"/>
      <c r="G5" s="15"/>
      <c r="H5" s="15"/>
      <c r="I5" s="15"/>
      <c r="J5" s="16"/>
      <c r="K5" s="5">
        <v>70</v>
      </c>
      <c r="L5" s="5">
        <f>K5/3.6</f>
        <v>19.444444444444443</v>
      </c>
      <c r="N5" s="53"/>
      <c r="O5" s="53"/>
      <c r="P5" s="53"/>
      <c r="Q5" s="5"/>
      <c r="R5" s="5"/>
      <c r="S5" s="5"/>
      <c r="T5" s="5"/>
      <c r="U5" s="5"/>
    </row>
    <row r="6" spans="1:21" ht="17.25" customHeight="1" x14ac:dyDescent="0.25">
      <c r="A6" s="12"/>
      <c r="B6" s="12"/>
      <c r="C6" s="13"/>
      <c r="D6" s="17"/>
      <c r="E6" s="18"/>
      <c r="F6" s="18"/>
      <c r="G6" s="18"/>
      <c r="H6" s="18"/>
      <c r="I6" s="18"/>
      <c r="J6" s="19"/>
      <c r="K6" s="5"/>
      <c r="L6" s="5"/>
      <c r="N6" s="54" t="s">
        <v>38</v>
      </c>
      <c r="O6" s="54"/>
      <c r="P6" s="54"/>
      <c r="Q6" s="35"/>
      <c r="R6" s="35"/>
      <c r="S6" s="35"/>
      <c r="T6" s="35"/>
      <c r="U6" s="5">
        <f>U4/U1</f>
        <v>1.4297854312107008</v>
      </c>
    </row>
    <row r="7" spans="1:21" ht="16.5" customHeight="1" x14ac:dyDescent="0.25">
      <c r="A7" s="8" t="s">
        <v>23</v>
      </c>
      <c r="B7" s="8"/>
      <c r="C7" s="8"/>
      <c r="D7" s="6" t="s">
        <v>5</v>
      </c>
      <c r="E7" s="6"/>
      <c r="F7" s="6"/>
      <c r="G7" s="6"/>
      <c r="H7" s="6"/>
      <c r="I7" s="6"/>
      <c r="J7" s="6"/>
      <c r="K7" s="9">
        <v>5</v>
      </c>
      <c r="N7" s="54"/>
      <c r="O7" s="54"/>
      <c r="P7" s="54"/>
      <c r="Q7" s="35"/>
      <c r="R7" s="35"/>
      <c r="S7" s="35"/>
      <c r="T7" s="35"/>
      <c r="U7" s="5"/>
    </row>
    <row r="8" spans="1:21" ht="15" customHeight="1" x14ac:dyDescent="0.25">
      <c r="A8" s="8"/>
      <c r="B8" s="8"/>
      <c r="C8" s="8"/>
      <c r="D8" s="6"/>
      <c r="E8" s="6"/>
      <c r="F8" s="6"/>
      <c r="G8" s="6"/>
      <c r="H8" s="6"/>
      <c r="I8" s="6"/>
      <c r="J8" s="6"/>
      <c r="K8" s="5"/>
    </row>
    <row r="9" spans="1:21" ht="18" customHeight="1" x14ac:dyDescent="0.25">
      <c r="A9" s="21" t="s">
        <v>25</v>
      </c>
      <c r="B9" s="21"/>
      <c r="C9" s="22"/>
      <c r="D9" s="29"/>
      <c r="E9" s="30"/>
      <c r="F9" s="30"/>
      <c r="G9" s="30"/>
      <c r="H9" s="30"/>
      <c r="I9" s="30"/>
      <c r="J9" s="31"/>
      <c r="K9" s="5">
        <f>(L5-0)/2</f>
        <v>9.7222222222222214</v>
      </c>
    </row>
    <row r="10" spans="1:21" x14ac:dyDescent="0.25">
      <c r="A10" s="27"/>
      <c r="B10" s="27"/>
      <c r="C10" s="28"/>
      <c r="D10" s="32"/>
      <c r="E10" s="33"/>
      <c r="F10" s="33"/>
      <c r="G10" s="33"/>
      <c r="H10" s="33"/>
      <c r="I10" s="33"/>
      <c r="J10" s="34"/>
      <c r="K10" s="5"/>
    </row>
    <row r="11" spans="1:21" ht="15" customHeight="1" x14ac:dyDescent="0.25">
      <c r="A11" s="20" t="s">
        <v>26</v>
      </c>
      <c r="B11" s="21"/>
      <c r="C11" s="22"/>
      <c r="D11" s="35"/>
      <c r="E11" s="35"/>
      <c r="F11" s="35"/>
      <c r="G11" s="35"/>
      <c r="H11" s="35"/>
      <c r="I11" s="35"/>
      <c r="J11" s="35"/>
      <c r="K11" s="5">
        <f>0*K9+((K3*(K9^2))/2)</f>
        <v>94.521604938271594</v>
      </c>
    </row>
    <row r="12" spans="1:21" ht="15" customHeight="1" x14ac:dyDescent="0.25">
      <c r="A12" s="23"/>
      <c r="B12" s="24"/>
      <c r="C12" s="25"/>
      <c r="D12" s="35"/>
      <c r="E12" s="35"/>
      <c r="F12" s="35"/>
      <c r="G12" s="35"/>
      <c r="H12" s="35"/>
      <c r="I12" s="35"/>
      <c r="J12" s="35"/>
      <c r="K12" s="5"/>
    </row>
    <row r="13" spans="1:21" ht="15" customHeight="1" x14ac:dyDescent="0.25">
      <c r="A13" s="26"/>
      <c r="B13" s="27"/>
      <c r="C13" s="28"/>
      <c r="D13" s="35"/>
      <c r="E13" s="35"/>
      <c r="F13" s="35"/>
      <c r="G13" s="35"/>
      <c r="H13" s="35"/>
      <c r="I13" s="35"/>
      <c r="J13" s="35"/>
      <c r="K13" s="5"/>
    </row>
    <row r="14" spans="1:21" ht="15" customHeight="1" x14ac:dyDescent="0.25">
      <c r="A14" s="21" t="s">
        <v>32</v>
      </c>
      <c r="B14" s="21"/>
      <c r="C14" s="21"/>
      <c r="D14" s="35"/>
      <c r="E14" s="35"/>
      <c r="F14" s="35"/>
      <c r="G14" s="35"/>
      <c r="H14" s="35"/>
      <c r="I14" s="35"/>
      <c r="J14" s="35"/>
      <c r="K14" s="5">
        <f>K11/K7+1</f>
        <v>19.904320987654319</v>
      </c>
    </row>
    <row r="15" spans="1:21" ht="15" customHeight="1" x14ac:dyDescent="0.25">
      <c r="A15" s="27"/>
      <c r="B15" s="27"/>
      <c r="C15" s="27"/>
      <c r="D15" s="35"/>
      <c r="E15" s="35"/>
      <c r="F15" s="35"/>
      <c r="G15" s="35"/>
      <c r="H15" s="35"/>
      <c r="I15" s="35"/>
      <c r="J15" s="35"/>
      <c r="K15" s="5"/>
    </row>
    <row r="16" spans="1:21" x14ac:dyDescent="0.25">
      <c r="A16" s="36" t="s">
        <v>31</v>
      </c>
      <c r="B16" s="36"/>
      <c r="C16" s="36"/>
      <c r="D16" s="35"/>
      <c r="E16" s="35"/>
      <c r="F16" s="35"/>
      <c r="G16" s="35"/>
      <c r="H16" s="35"/>
      <c r="I16" s="35"/>
      <c r="J16" s="35"/>
      <c r="K16" s="5">
        <f>K14+SQRT((2*(K14*K7))/K3)</f>
        <v>29.880372558204243</v>
      </c>
    </row>
    <row r="17" spans="1:11" x14ac:dyDescent="0.25">
      <c r="A17" s="36"/>
      <c r="B17" s="36"/>
      <c r="C17" s="36"/>
      <c r="D17" s="35"/>
      <c r="E17" s="35"/>
      <c r="F17" s="35"/>
      <c r="G17" s="35"/>
      <c r="H17" s="35"/>
      <c r="I17" s="35"/>
      <c r="J17" s="35"/>
      <c r="K17" s="5"/>
    </row>
    <row r="18" spans="1:11" x14ac:dyDescent="0.25">
      <c r="A18" s="36"/>
      <c r="B18" s="36"/>
      <c r="C18" s="36"/>
      <c r="D18" s="35"/>
      <c r="E18" s="35"/>
      <c r="F18" s="35"/>
      <c r="G18" s="35"/>
      <c r="H18" s="35"/>
      <c r="I18" s="35"/>
      <c r="J18" s="35"/>
      <c r="K18" s="5"/>
    </row>
    <row r="19" spans="1:11" x14ac:dyDescent="0.25">
      <c r="A19" s="36" t="s">
        <v>30</v>
      </c>
      <c r="B19" s="36"/>
      <c r="C19" s="36"/>
      <c r="D19" s="35"/>
      <c r="E19" s="35"/>
      <c r="F19" s="35"/>
      <c r="G19" s="35"/>
      <c r="H19" s="35"/>
      <c r="I19" s="35"/>
      <c r="J19" s="35"/>
      <c r="K19" s="5">
        <f>K1/K16</f>
        <v>0.50200177292908132</v>
      </c>
    </row>
    <row r="20" spans="1:11" x14ac:dyDescent="0.25">
      <c r="A20" s="36"/>
      <c r="B20" s="36"/>
      <c r="C20" s="36"/>
      <c r="D20" s="35"/>
      <c r="E20" s="35"/>
      <c r="F20" s="35"/>
      <c r="G20" s="35"/>
      <c r="H20" s="35"/>
      <c r="I20" s="35"/>
      <c r="J20" s="35"/>
      <c r="K20" s="5"/>
    </row>
    <row r="21" spans="1:11" x14ac:dyDescent="0.25">
      <c r="A21" s="36"/>
      <c r="B21" s="36"/>
      <c r="C21" s="36"/>
      <c r="D21" s="35"/>
      <c r="E21" s="35"/>
      <c r="F21" s="35"/>
      <c r="G21" s="35"/>
      <c r="H21" s="35"/>
      <c r="I21" s="35"/>
      <c r="J21" s="35"/>
      <c r="K21" s="5"/>
    </row>
    <row r="22" spans="1:11" x14ac:dyDescent="0.25">
      <c r="A22" s="8" t="s">
        <v>29</v>
      </c>
      <c r="B22" s="8"/>
      <c r="C22" s="8"/>
      <c r="D22" s="35"/>
      <c r="E22" s="35"/>
      <c r="F22" s="35"/>
      <c r="G22" s="35"/>
      <c r="H22" s="35"/>
      <c r="I22" s="35"/>
      <c r="J22" s="35"/>
      <c r="K22" s="5">
        <f>IF(K19&lt;= 1,(-(2*K1+((2*K7)/K3))^2)-4*K1^2,"-")</f>
        <v>325</v>
      </c>
    </row>
    <row r="23" spans="1:11" x14ac:dyDescent="0.25">
      <c r="A23" s="8"/>
      <c r="B23" s="8"/>
      <c r="C23" s="8"/>
      <c r="D23" s="35"/>
      <c r="E23" s="35"/>
      <c r="F23" s="35"/>
      <c r="G23" s="35"/>
      <c r="H23" s="35"/>
      <c r="I23" s="35"/>
      <c r="J23" s="35"/>
      <c r="K23" s="5"/>
    </row>
    <row r="24" spans="1:11" x14ac:dyDescent="0.25">
      <c r="A24" s="8"/>
      <c r="B24" s="8"/>
      <c r="C24" s="8"/>
      <c r="D24" s="35"/>
      <c r="E24" s="35"/>
      <c r="F24" s="35"/>
      <c r="G24" s="35"/>
      <c r="H24" s="35"/>
      <c r="I24" s="35"/>
      <c r="J24" s="35"/>
      <c r="K24" s="5"/>
    </row>
    <row r="25" spans="1:11" x14ac:dyDescent="0.25">
      <c r="A25" s="20" t="s">
        <v>28</v>
      </c>
      <c r="B25" s="21"/>
      <c r="C25" s="22"/>
      <c r="D25" s="29"/>
      <c r="E25" s="30"/>
      <c r="F25" s="30"/>
      <c r="G25" s="30"/>
      <c r="H25" s="30"/>
      <c r="I25" s="30"/>
      <c r="J25" s="31"/>
      <c r="K25" s="40">
        <f>IF(K19&lt;= 1,(((2*K1)+((2*K7)/K3))-SQRT(K22))/2,"-")</f>
        <v>8.486121811340027</v>
      </c>
    </row>
    <row r="26" spans="1:11" x14ac:dyDescent="0.25">
      <c r="A26" s="23"/>
      <c r="B26" s="24"/>
      <c r="C26" s="25"/>
      <c r="D26" s="37"/>
      <c r="E26" s="38"/>
      <c r="F26" s="38"/>
      <c r="G26" s="38"/>
      <c r="H26" s="38"/>
      <c r="I26" s="38"/>
      <c r="J26" s="39"/>
      <c r="K26" s="41"/>
    </row>
    <row r="27" spans="1:11" x14ac:dyDescent="0.25">
      <c r="A27" s="26"/>
      <c r="B27" s="27"/>
      <c r="C27" s="28"/>
      <c r="D27" s="32"/>
      <c r="E27" s="33"/>
      <c r="F27" s="33"/>
      <c r="G27" s="33"/>
      <c r="H27" s="33"/>
      <c r="I27" s="33"/>
      <c r="J27" s="34"/>
      <c r="K27" s="9"/>
    </row>
    <row r="28" spans="1:11" x14ac:dyDescent="0.25">
      <c r="A28" s="8" t="s">
        <v>33</v>
      </c>
      <c r="B28" s="8"/>
      <c r="C28" s="8"/>
      <c r="D28" s="35"/>
      <c r="E28" s="35"/>
      <c r="F28" s="35"/>
      <c r="G28" s="35"/>
      <c r="H28" s="35"/>
      <c r="I28" s="35"/>
      <c r="J28" s="35"/>
      <c r="K28" s="5" t="str">
        <f>IF(K19&gt;1,((K1*L5)+K11-(L5*SQRT(((2*K11)/K3))))/(K7+L5),"-")</f>
        <v>-</v>
      </c>
    </row>
    <row r="29" spans="1:11" x14ac:dyDescent="0.25">
      <c r="A29" s="8"/>
      <c r="B29" s="8"/>
      <c r="C29" s="8"/>
      <c r="D29" s="35"/>
      <c r="E29" s="35"/>
      <c r="F29" s="35"/>
      <c r="G29" s="35"/>
      <c r="H29" s="35"/>
      <c r="I29" s="35"/>
      <c r="J29" s="35"/>
      <c r="K29" s="5"/>
    </row>
    <row r="30" spans="1:11" x14ac:dyDescent="0.25">
      <c r="A30" s="8"/>
      <c r="B30" s="8"/>
      <c r="C30" s="8"/>
      <c r="D30" s="35"/>
      <c r="E30" s="35"/>
      <c r="F30" s="35"/>
      <c r="G30" s="35"/>
      <c r="H30" s="35"/>
      <c r="I30" s="35"/>
      <c r="J30" s="35"/>
      <c r="K30" s="5"/>
    </row>
    <row r="31" spans="1:11" x14ac:dyDescent="0.25">
      <c r="A31" s="8"/>
      <c r="B31" s="8"/>
      <c r="C31" s="8"/>
      <c r="D31" s="35"/>
      <c r="E31" s="35"/>
      <c r="F31" s="35"/>
      <c r="G31" s="35"/>
      <c r="H31" s="35"/>
      <c r="I31" s="35"/>
      <c r="J31" s="35"/>
      <c r="K31" s="5"/>
    </row>
    <row r="32" spans="1:11" ht="15" customHeight="1" x14ac:dyDescent="0.25"/>
    <row r="33" spans="1:27" x14ac:dyDescent="0.25">
      <c r="A33">
        <f>A35*1+SQRT((2*($L$54)/$K$3))+((A36-$L$54)/$L$5)</f>
        <v>6.1182539682539678</v>
      </c>
      <c r="B33">
        <f>B35*1+SQRT((2*($L$54)/$K$3))+((B36-$L$54)/$L$5)</f>
        <v>7.375396825396825</v>
      </c>
      <c r="C33">
        <f>C35*1+SQRT((2*($L$54)/$K$3))+((C36-$L$54)/$L$5)</f>
        <v>8.632539682539683</v>
      </c>
      <c r="D33">
        <f>D35*1+SQRT((2*($L$54)/$K$3))+((D36-$L$54)/$L$5)</f>
        <v>9.8896825396825392</v>
      </c>
      <c r="E33">
        <f>E35*1+SQRT((2*($L$54)/$K$3))+((E36-$L$54)/$L$5)</f>
        <v>11.146825396825395</v>
      </c>
      <c r="F33">
        <f>F35*1+SQRT((2*($L$54)/$K$3))+((F36-$L$54)/$L$5)</f>
        <v>12.403968253968253</v>
      </c>
      <c r="G33">
        <f>G35*1+SQRT((2*($L$54)/$K$3))+((G36-$L$54)/$L$5)</f>
        <v>13.661111111111111</v>
      </c>
      <c r="H33">
        <f>H35*1+SQRT((2*($L$54)/$K$3))+((H36-$L$54)/$L$5)</f>
        <v>14.918253968253968</v>
      </c>
      <c r="I33">
        <f>I35*1+SQRT((2*($L$54)/$K$3))+((I36-$L$54)/$L$5)</f>
        <v>16.175396825396824</v>
      </c>
      <c r="J33">
        <f>J35*1+SQRT((2*($L$54)/$K$3))+((J36-$L$54)/$L$5)</f>
        <v>17.432539682539684</v>
      </c>
      <c r="K33">
        <f>K35*1+SQRT((2*($L$54)/$K$3))+((K36-$L$54)/$L$5)</f>
        <v>18.68968253968254</v>
      </c>
      <c r="L33">
        <f>L35*1+SQRT((2*($L$54)/$K$3))+((L36-$L$54)/$L$5)</f>
        <v>19.946825396825396</v>
      </c>
      <c r="M33">
        <f>M35*1+SQRT((2*($L$54)/$K$3))+((M36-$L$54)/$L$5)</f>
        <v>21.203968253968252</v>
      </c>
      <c r="N33">
        <f>N35*1+SQRT((2*($L$54)/$K$3))+((N36-$L$54)/$L$5)</f>
        <v>22.461111111111112</v>
      </c>
      <c r="O33">
        <f>O35*1+SQRT((2*($L$54)/$K$3))+((O36-$L$54)/$L$5)</f>
        <v>23.718253968253968</v>
      </c>
      <c r="P33">
        <f>P35*1+SQRT((2*($L$54)/$K$3))+((P36-$L$54)/$L$5)</f>
        <v>24.975396825396825</v>
      </c>
      <c r="Q33">
        <f>Q35*1+SQRT((2*($L$54)/$K$3))+((Q36-$L$54)/$L$5)</f>
        <v>26.232539682539681</v>
      </c>
      <c r="R33">
        <f>R35*1+SQRT((2*($L$54)/$K$3))+((R36-$L$54)/$L$5)</f>
        <v>27.489682539682541</v>
      </c>
      <c r="S33">
        <f>S35*1+SQRT((2*($L$54)/$K$3))+((S36-$L$54)/$L$5)</f>
        <v>28.746825396825397</v>
      </c>
      <c r="T33">
        <f>T35*1+SQRT((2*($L$54)/$K$3))+((T36-$L$54)/$L$5)</f>
        <v>30.003968253968253</v>
      </c>
      <c r="U33">
        <f>U35*1+SQRT((2*($L$54)/$K$3))+((U36-$L$54)/$L$5)</f>
        <v>31.261111111111109</v>
      </c>
      <c r="V33">
        <f>V35*1+SQRT((2*($L$54)/$K$3))+((V36-$L$54)/$L$5)</f>
        <v>32.518253968253966</v>
      </c>
      <c r="W33">
        <f>W35*1+SQRT((2*($L$54)/$K$3))+((W36-$L$54)/$L$5)</f>
        <v>33.775396825396825</v>
      </c>
      <c r="X33">
        <f>X35*1+SQRT((2*($L$54)/$K$3))+((X36-$L$54)/$L$5)</f>
        <v>35.032539682539685</v>
      </c>
      <c r="Y33">
        <f>Y35*1+SQRT((2*($L$54)/$K$3))+((Y36-$L$54)/$L$5)</f>
        <v>36.289682539682538</v>
      </c>
      <c r="Z33">
        <f>Z35*1+SQRT((2*($L$54)/$K$3))+((Z36-$L$54)/$L$5)</f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>B35*1+SQRT((2*(B35*5))/$K$3)</f>
        <v>5.16227766016838</v>
      </c>
      <c r="C34" s="2">
        <f>C35*1+SQRT((2*(C35*5))/$K$3)</f>
        <v>6.872983346207417</v>
      </c>
      <c r="D34" s="2">
        <f>D35*1+SQRT((2*(D35*5))/$K$3)</f>
        <v>8.4721359549995796</v>
      </c>
      <c r="E34" s="2">
        <f>E35*1+SQRT((2*(E35*5))/$K$3)</f>
        <v>10</v>
      </c>
      <c r="F34" s="2">
        <f>F35*1+SQRT((2*(F35*5))/$K$3)</f>
        <v>11.477225575051662</v>
      </c>
      <c r="G34" s="2">
        <f>G35*1+SQRT((2*(G35*5))/$K$3)</f>
        <v>12.916079783099615</v>
      </c>
      <c r="H34" s="2">
        <f>H35*1+SQRT((2*(H35*5))/$K$3)</f>
        <v>14.32455532033676</v>
      </c>
      <c r="I34" s="2">
        <f>I35*1+SQRT((2*(I35*5))/$K$3)</f>
        <v>15.708203932499369</v>
      </c>
      <c r="J34" s="2">
        <f>J35*1+SQRT((2*(J35*5))/$K$3)</f>
        <v>17.071067811865476</v>
      </c>
      <c r="K34" s="2">
        <f>K35*1+SQRT((2*(K35*5))/$K$3)</f>
        <v>18.416198487095663</v>
      </c>
      <c r="L34" s="2">
        <f>L35*1+SQRT((2*(L35*5))/$K$3)</f>
        <v>19.745966692414832</v>
      </c>
      <c r="M34" s="2">
        <f>M35*1+SQRT((2*(M35*5))/$K$3)</f>
        <v>21.062257748298549</v>
      </c>
      <c r="N34" s="2">
        <f>N35*1+SQRT((2*(N35*5))/$K$3)</f>
        <v>22.366600265340757</v>
      </c>
      <c r="O34" s="2">
        <f>O35*1+SQRT((2*(O35*5))/$K$3)</f>
        <v>23.660254037844389</v>
      </c>
      <c r="P34" s="2">
        <f>P35*1+SQRT((2*(P35*5))/$K$3)</f>
        <v>24.944271909999159</v>
      </c>
      <c r="Q34" s="2">
        <f>Q35*1+SQRT((2*(Q35*5))/$K$3)</f>
        <v>26.219544457292887</v>
      </c>
      <c r="R34" s="2">
        <f>R35*1+SQRT((2*(R35*5))/$K$3)</f>
        <v>27.486832980505138</v>
      </c>
      <c r="S34" s="2">
        <f>S35*1+SQRT((2*(S35*5))/$K$3)</f>
        <v>28.746794344808961</v>
      </c>
      <c r="T34" s="2">
        <f>T35*1+SQRT((2*(T35*5))/$K$3)</f>
        <v>30</v>
      </c>
      <c r="U34" s="2">
        <f>U35*1+SQRT((2*(U35*5))/$K$3)</f>
        <v>31.246950765959596</v>
      </c>
      <c r="V34" s="2">
        <f>V35*1+SQRT((2*(V35*5))/$K$3)</f>
        <v>32.488088481701517</v>
      </c>
      <c r="W34" s="2">
        <f>W35*1+SQRT((2*(W35*5))/$K$3)</f>
        <v>33.723805294763608</v>
      </c>
      <c r="X34" s="2">
        <f>X35*1+SQRT((2*(X35*5))/$K$3)</f>
        <v>34.954451150103324</v>
      </c>
      <c r="Y34" s="2">
        <f>Y35*1+SQRT((2*(Y35*5))/$K$3)</f>
        <v>36.180339887498945</v>
      </c>
      <c r="Z34" s="2">
        <f>Z35*1+SQRT((2*(Z35*5))/$K$3)</f>
        <v>54.142135623730951</v>
      </c>
      <c r="AA34" s="2">
        <f>AA35*1+SQRT((2*(AA35*5))/$K$3)</f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0">A35*5</f>
        <v>5</v>
      </c>
      <c r="B36">
        <f t="shared" si="0"/>
        <v>10</v>
      </c>
      <c r="C36">
        <f t="shared" si="0"/>
        <v>15</v>
      </c>
      <c r="D36">
        <f t="shared" si="0"/>
        <v>20</v>
      </c>
      <c r="E36">
        <f t="shared" si="0"/>
        <v>25</v>
      </c>
      <c r="F36">
        <f t="shared" si="0"/>
        <v>30</v>
      </c>
      <c r="G36">
        <f t="shared" si="0"/>
        <v>35</v>
      </c>
      <c r="H36">
        <f t="shared" si="0"/>
        <v>40</v>
      </c>
      <c r="I36">
        <f t="shared" si="0"/>
        <v>45</v>
      </c>
      <c r="J36">
        <f t="shared" si="0"/>
        <v>50</v>
      </c>
      <c r="K36">
        <f t="shared" si="0"/>
        <v>55</v>
      </c>
      <c r="L36">
        <f t="shared" si="0"/>
        <v>60</v>
      </c>
      <c r="M36">
        <f t="shared" si="0"/>
        <v>65</v>
      </c>
      <c r="N36">
        <f t="shared" si="0"/>
        <v>70</v>
      </c>
      <c r="O36">
        <f t="shared" si="0"/>
        <v>75</v>
      </c>
      <c r="P36">
        <f t="shared" si="0"/>
        <v>80</v>
      </c>
      <c r="Q36">
        <f t="shared" si="0"/>
        <v>85</v>
      </c>
      <c r="R36">
        <f>R35*5</f>
        <v>90</v>
      </c>
      <c r="S36">
        <f>S35*5</f>
        <v>95</v>
      </c>
      <c r="T36">
        <v>100</v>
      </c>
      <c r="U36">
        <f t="shared" ref="U36" si="1">U35*5</f>
        <v>105</v>
      </c>
      <c r="V36">
        <f t="shared" ref="V36" si="2">V35*5</f>
        <v>110</v>
      </c>
      <c r="W36">
        <f t="shared" ref="W36" si="3">W35*5</f>
        <v>115</v>
      </c>
      <c r="X36">
        <f t="shared" ref="X36" si="4">X35*5</f>
        <v>120</v>
      </c>
      <c r="Y36">
        <f t="shared" ref="Y36:AA36" si="5">Y35*5</f>
        <v>125</v>
      </c>
      <c r="Z36">
        <f t="shared" si="5"/>
        <v>200</v>
      </c>
      <c r="AA36">
        <f t="shared" si="5"/>
        <v>400</v>
      </c>
    </row>
    <row r="37" spans="1:27" x14ac:dyDescent="0.25">
      <c r="D37" s="4"/>
    </row>
    <row r="38" spans="1:27" x14ac:dyDescent="0.25">
      <c r="D38" s="47" t="s">
        <v>21</v>
      </c>
      <c r="E38" s="35"/>
      <c r="F38" s="35"/>
      <c r="G38" s="35"/>
      <c r="H38" s="35"/>
      <c r="I38" s="35"/>
      <c r="J38" s="35"/>
      <c r="K38" s="35"/>
      <c r="L38" s="43" t="s">
        <v>6</v>
      </c>
      <c r="M38" s="43"/>
      <c r="N38" s="43"/>
      <c r="O38" s="43"/>
      <c r="P38" s="43"/>
      <c r="R38" t="s">
        <v>11</v>
      </c>
      <c r="S38">
        <f>(-(2*V40+((2*V41)/K3))^2)-4*V40^2</f>
        <v>225</v>
      </c>
    </row>
    <row r="39" spans="1:27" x14ac:dyDescent="0.25">
      <c r="D39" s="47"/>
      <c r="E39" s="35"/>
      <c r="F39" s="35"/>
      <c r="G39" s="35"/>
      <c r="H39" s="35"/>
      <c r="I39" s="35"/>
      <c r="J39" s="35"/>
      <c r="K39" s="35"/>
      <c r="L39" s="43"/>
      <c r="M39" s="43"/>
      <c r="N39" s="43"/>
      <c r="O39" s="43"/>
      <c r="P39" s="43"/>
      <c r="R39" t="s">
        <v>12</v>
      </c>
      <c r="S39">
        <f>(((2*V40)+((2*V41)/K3))-SQRT(S38))/2</f>
        <v>5</v>
      </c>
    </row>
    <row r="40" spans="1:27" x14ac:dyDescent="0.25">
      <c r="D40" s="47"/>
      <c r="E40" s="35"/>
      <c r="F40" s="35"/>
      <c r="G40" s="35"/>
      <c r="H40" s="35"/>
      <c r="I40" s="35"/>
      <c r="J40" s="35"/>
      <c r="K40" s="35"/>
      <c r="L40" s="43"/>
      <c r="M40" s="43"/>
      <c r="N40" s="43"/>
      <c r="O40" s="43"/>
      <c r="P40" s="43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47"/>
      <c r="E41" s="35"/>
      <c r="F41" s="35"/>
      <c r="G41" s="35"/>
      <c r="H41" s="35"/>
      <c r="I41" s="35"/>
      <c r="J41" s="35"/>
      <c r="K41" s="35"/>
      <c r="L41" s="46" t="s">
        <v>8</v>
      </c>
      <c r="M41" s="46"/>
      <c r="N41" s="46"/>
      <c r="O41" s="46"/>
      <c r="P41" s="46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47"/>
      <c r="E42" s="35"/>
      <c r="F42" s="35"/>
      <c r="G42" s="35"/>
      <c r="H42" s="35"/>
      <c r="I42" s="35"/>
      <c r="J42" s="35"/>
      <c r="K42" s="35"/>
      <c r="L42" s="46"/>
      <c r="M42" s="46"/>
      <c r="N42" s="46"/>
      <c r="O42" s="46"/>
      <c r="P42" s="46"/>
    </row>
    <row r="43" spans="1:27" x14ac:dyDescent="0.25">
      <c r="D43" s="47"/>
      <c r="E43" s="35"/>
      <c r="F43" s="35"/>
      <c r="G43" s="35"/>
      <c r="H43" s="35"/>
      <c r="I43" s="35"/>
      <c r="J43" s="35"/>
      <c r="K43" s="35"/>
      <c r="L43" s="46"/>
      <c r="M43" s="46"/>
      <c r="N43" s="46"/>
      <c r="O43" s="46"/>
      <c r="P43" s="46"/>
    </row>
    <row r="44" spans="1:27" x14ac:dyDescent="0.25">
      <c r="D44" s="47"/>
      <c r="E44" s="35"/>
      <c r="F44" s="35"/>
      <c r="G44" s="35"/>
      <c r="H44" s="35"/>
      <c r="I44" s="35"/>
      <c r="J44" s="35"/>
      <c r="K44" s="35"/>
      <c r="L44" s="44" t="s">
        <v>7</v>
      </c>
      <c r="M44" s="45"/>
      <c r="N44" s="45"/>
      <c r="O44" s="45"/>
      <c r="P44" s="45"/>
      <c r="U44" s="1" t="s">
        <v>4</v>
      </c>
      <c r="V44" s="1">
        <v>10</v>
      </c>
    </row>
    <row r="45" spans="1:27" x14ac:dyDescent="0.25">
      <c r="D45" s="47"/>
      <c r="E45" s="35"/>
      <c r="F45" s="35"/>
      <c r="G45" s="35"/>
      <c r="H45" s="35"/>
      <c r="I45" s="35"/>
      <c r="J45" s="35"/>
      <c r="K45" s="35"/>
      <c r="L45" s="45"/>
      <c r="M45" s="45"/>
      <c r="N45" s="45"/>
      <c r="O45" s="45"/>
      <c r="P45" s="45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47"/>
      <c r="E46" s="35"/>
      <c r="F46" s="35"/>
      <c r="G46" s="35"/>
      <c r="H46" s="35"/>
      <c r="I46" s="35"/>
      <c r="J46" s="35"/>
      <c r="K46" s="35"/>
      <c r="L46" s="45"/>
      <c r="M46" s="45"/>
      <c r="N46" s="45"/>
      <c r="O46" s="45"/>
      <c r="P46" s="45"/>
    </row>
    <row r="47" spans="1:27" x14ac:dyDescent="0.25">
      <c r="D47" s="47"/>
      <c r="E47" s="35"/>
      <c r="F47" s="35"/>
      <c r="G47" s="35"/>
      <c r="H47" s="35"/>
      <c r="I47" s="35"/>
      <c r="J47" s="35"/>
      <c r="K47" s="35"/>
      <c r="L47" s="44" t="s">
        <v>9</v>
      </c>
      <c r="M47" s="44"/>
      <c r="N47" s="44"/>
      <c r="O47" s="44"/>
      <c r="P47" s="44"/>
    </row>
    <row r="48" spans="1:27" x14ac:dyDescent="0.25">
      <c r="D48" s="47"/>
      <c r="E48" s="35"/>
      <c r="F48" s="35"/>
      <c r="G48" s="35"/>
      <c r="H48" s="35"/>
      <c r="I48" s="35"/>
      <c r="J48" s="35"/>
      <c r="K48" s="35"/>
      <c r="L48" s="44"/>
      <c r="M48" s="44"/>
      <c r="N48" s="44"/>
      <c r="O48" s="44"/>
      <c r="P48" s="44"/>
    </row>
    <row r="49" spans="4:16" x14ac:dyDescent="0.25">
      <c r="D49" s="47"/>
      <c r="E49" s="35"/>
      <c r="F49" s="35"/>
      <c r="G49" s="35"/>
      <c r="H49" s="35"/>
      <c r="I49" s="35"/>
      <c r="J49" s="35"/>
      <c r="K49" s="35"/>
      <c r="L49" s="44"/>
      <c r="M49" s="44"/>
      <c r="N49" s="44"/>
      <c r="O49" s="44"/>
      <c r="P49" s="44"/>
    </row>
    <row r="50" spans="4:16" x14ac:dyDescent="0.25">
      <c r="D50" s="47"/>
      <c r="E50" s="35"/>
      <c r="F50" s="35"/>
      <c r="G50" s="35"/>
      <c r="H50" s="35"/>
      <c r="I50" s="35"/>
      <c r="J50" s="35"/>
      <c r="K50" s="35"/>
      <c r="L50" s="44" t="s">
        <v>10</v>
      </c>
      <c r="M50" s="44"/>
      <c r="N50" s="44"/>
      <c r="O50" s="44"/>
      <c r="P50" s="44"/>
    </row>
    <row r="51" spans="4:16" x14ac:dyDescent="0.25">
      <c r="D51" s="47"/>
      <c r="E51" s="35"/>
      <c r="F51" s="35"/>
      <c r="G51" s="35"/>
      <c r="H51" s="35"/>
      <c r="I51" s="35"/>
      <c r="J51" s="35"/>
      <c r="K51" s="35"/>
      <c r="L51" s="44"/>
      <c r="M51" s="44"/>
      <c r="N51" s="44"/>
      <c r="O51" s="44"/>
      <c r="P51" s="44"/>
    </row>
    <row r="52" spans="4:16" ht="15" customHeight="1" x14ac:dyDescent="0.25">
      <c r="D52" s="47"/>
      <c r="E52" s="35"/>
      <c r="F52" s="35"/>
      <c r="G52" s="35"/>
      <c r="H52" s="35"/>
      <c r="I52" s="35"/>
      <c r="J52" s="35"/>
      <c r="K52" s="35"/>
      <c r="L52" s="44"/>
      <c r="M52" s="44"/>
      <c r="N52" s="44"/>
      <c r="O52" s="44"/>
      <c r="P52" s="44"/>
    </row>
    <row r="53" spans="4:16" x14ac:dyDescent="0.25">
      <c r="D53" s="47"/>
      <c r="E53" s="35"/>
      <c r="F53" s="35"/>
      <c r="G53" s="35"/>
      <c r="H53" s="35"/>
      <c r="I53" s="35"/>
      <c r="J53" s="35"/>
      <c r="K53" s="35"/>
      <c r="L53" s="44"/>
      <c r="M53" s="44"/>
      <c r="N53" s="44"/>
      <c r="O53" s="44"/>
      <c r="P53" s="44"/>
    </row>
    <row r="54" spans="4:16" x14ac:dyDescent="0.25">
      <c r="D54" s="4"/>
      <c r="J54" s="35"/>
      <c r="K54" s="35"/>
      <c r="L54" s="5">
        <f>0*K9+((K3*(K9^2))/2)</f>
        <v>94.521604938271594</v>
      </c>
    </row>
    <row r="55" spans="4:16" x14ac:dyDescent="0.25">
      <c r="D55" s="4"/>
      <c r="J55" s="35"/>
      <c r="K55" s="35"/>
      <c r="L55" s="5"/>
    </row>
    <row r="56" spans="4:16" x14ac:dyDescent="0.25">
      <c r="D56" s="4"/>
    </row>
    <row r="57" spans="4:16" x14ac:dyDescent="0.25">
      <c r="D57" s="4"/>
    </row>
    <row r="58" spans="4:16" x14ac:dyDescent="0.25">
      <c r="D58" s="47" t="s">
        <v>22</v>
      </c>
      <c r="E58" s="35"/>
      <c r="F58" s="35"/>
      <c r="G58" s="35"/>
      <c r="H58" s="35"/>
      <c r="I58" s="35"/>
      <c r="J58" s="44" t="s">
        <v>13</v>
      </c>
      <c r="K58" s="44"/>
      <c r="L58" s="44"/>
      <c r="M58" s="44"/>
      <c r="N58" s="44"/>
    </row>
    <row r="59" spans="4:16" x14ac:dyDescent="0.25">
      <c r="D59" s="47"/>
      <c r="E59" s="35"/>
      <c r="F59" s="35"/>
      <c r="G59" s="35"/>
      <c r="H59" s="35"/>
      <c r="I59" s="35"/>
      <c r="J59" s="44"/>
      <c r="K59" s="44"/>
      <c r="L59" s="44"/>
      <c r="M59" s="44"/>
      <c r="N59" s="44"/>
    </row>
    <row r="60" spans="4:16" x14ac:dyDescent="0.25">
      <c r="D60" s="47"/>
      <c r="E60" s="35"/>
      <c r="F60" s="35"/>
      <c r="G60" s="35"/>
      <c r="H60" s="35"/>
      <c r="I60" s="35"/>
      <c r="J60" s="44"/>
      <c r="K60" s="44"/>
      <c r="L60" s="44"/>
      <c r="M60" s="44"/>
      <c r="N60" s="44"/>
    </row>
    <row r="61" spans="4:16" x14ac:dyDescent="0.25">
      <c r="D61" s="47"/>
      <c r="E61" s="35"/>
      <c r="F61" s="35"/>
      <c r="G61" s="35"/>
      <c r="H61" s="35"/>
      <c r="I61" s="35"/>
      <c r="J61" s="46" t="s">
        <v>14</v>
      </c>
      <c r="K61" s="46"/>
      <c r="L61" s="46"/>
      <c r="M61" s="46"/>
      <c r="N61" s="46"/>
    </row>
    <row r="62" spans="4:16" x14ac:dyDescent="0.25">
      <c r="D62" s="47"/>
      <c r="E62" s="35"/>
      <c r="F62" s="35"/>
      <c r="G62" s="35"/>
      <c r="H62" s="35"/>
      <c r="I62" s="35"/>
      <c r="J62" s="46"/>
      <c r="K62" s="46"/>
      <c r="L62" s="46"/>
      <c r="M62" s="46"/>
      <c r="N62" s="46"/>
    </row>
    <row r="63" spans="4:16" x14ac:dyDescent="0.25">
      <c r="D63" s="47"/>
      <c r="E63" s="35"/>
      <c r="F63" s="35"/>
      <c r="G63" s="35"/>
      <c r="H63" s="35"/>
      <c r="I63" s="35"/>
      <c r="J63" s="46"/>
      <c r="K63" s="46"/>
      <c r="L63" s="46"/>
      <c r="M63" s="46"/>
      <c r="N63" s="46"/>
    </row>
    <row r="64" spans="4:16" x14ac:dyDescent="0.25">
      <c r="D64" s="47"/>
      <c r="E64" s="35"/>
      <c r="F64" s="35"/>
      <c r="G64" s="35"/>
      <c r="H64" s="35"/>
      <c r="I64" s="35"/>
      <c r="J64" s="44" t="s">
        <v>15</v>
      </c>
      <c r="K64" s="44"/>
      <c r="L64" s="44"/>
      <c r="M64" s="44"/>
      <c r="N64" s="44"/>
    </row>
    <row r="65" spans="4:14" x14ac:dyDescent="0.25">
      <c r="D65" s="47"/>
      <c r="E65" s="35"/>
      <c r="F65" s="35"/>
      <c r="G65" s="35"/>
      <c r="H65" s="35"/>
      <c r="I65" s="35"/>
      <c r="J65" s="44"/>
      <c r="K65" s="44"/>
      <c r="L65" s="44"/>
      <c r="M65" s="44"/>
      <c r="N65" s="44"/>
    </row>
    <row r="66" spans="4:14" x14ac:dyDescent="0.25">
      <c r="D66" s="47"/>
      <c r="E66" s="35"/>
      <c r="F66" s="35"/>
      <c r="G66" s="35"/>
      <c r="H66" s="35"/>
      <c r="I66" s="35"/>
      <c r="J66" s="44"/>
      <c r="K66" s="44"/>
      <c r="L66" s="44"/>
      <c r="M66" s="44"/>
      <c r="N66" s="44"/>
    </row>
    <row r="67" spans="4:14" x14ac:dyDescent="0.25">
      <c r="D67" s="47"/>
      <c r="E67" s="35"/>
      <c r="F67" s="35"/>
      <c r="G67" s="35"/>
      <c r="H67" s="35"/>
      <c r="I67" s="35"/>
      <c r="J67" s="46" t="s">
        <v>16</v>
      </c>
      <c r="K67" s="46"/>
      <c r="L67" s="46"/>
      <c r="M67" s="46"/>
      <c r="N67" s="46"/>
    </row>
    <row r="68" spans="4:14" x14ac:dyDescent="0.25">
      <c r="D68" s="47"/>
      <c r="E68" s="35"/>
      <c r="F68" s="35"/>
      <c r="G68" s="35"/>
      <c r="H68" s="35"/>
      <c r="I68" s="35"/>
      <c r="J68" s="46"/>
      <c r="K68" s="46"/>
      <c r="L68" s="46"/>
      <c r="M68" s="46"/>
      <c r="N68" s="46"/>
    </row>
    <row r="69" spans="4:14" x14ac:dyDescent="0.25">
      <c r="D69" s="47"/>
      <c r="E69" s="35"/>
      <c r="F69" s="35"/>
      <c r="G69" s="35"/>
      <c r="H69" s="35"/>
      <c r="I69" s="35"/>
      <c r="J69" s="46"/>
      <c r="K69" s="46"/>
      <c r="L69" s="46"/>
      <c r="M69" s="46"/>
      <c r="N69" s="46"/>
    </row>
    <row r="70" spans="4:14" x14ac:dyDescent="0.25">
      <c r="D70" s="47"/>
      <c r="E70" s="35"/>
      <c r="F70" s="35"/>
      <c r="G70" s="35"/>
      <c r="H70" s="35"/>
      <c r="I70" s="35"/>
      <c r="J70" s="46" t="s">
        <v>17</v>
      </c>
      <c r="K70" s="46"/>
      <c r="L70" s="46"/>
      <c r="M70" s="46"/>
      <c r="N70" s="46"/>
    </row>
    <row r="71" spans="4:14" x14ac:dyDescent="0.25">
      <c r="D71" s="47"/>
      <c r="E71" s="35"/>
      <c r="F71" s="35"/>
      <c r="G71" s="35"/>
      <c r="H71" s="35"/>
      <c r="I71" s="35"/>
      <c r="J71" s="46"/>
      <c r="K71" s="46"/>
      <c r="L71" s="46"/>
      <c r="M71" s="46"/>
      <c r="N71" s="46"/>
    </row>
    <row r="72" spans="4:14" x14ac:dyDescent="0.25">
      <c r="D72" s="47"/>
      <c r="E72" s="35"/>
      <c r="F72" s="35"/>
      <c r="G72" s="35"/>
      <c r="H72" s="35"/>
      <c r="I72" s="35"/>
      <c r="J72" s="46"/>
      <c r="K72" s="46"/>
      <c r="L72" s="46"/>
      <c r="M72" s="46"/>
      <c r="N72" s="46"/>
    </row>
    <row r="73" spans="4:14" x14ac:dyDescent="0.25">
      <c r="D73" s="47"/>
      <c r="E73" s="35"/>
      <c r="F73" s="35"/>
      <c r="G73" s="35"/>
      <c r="H73" s="35"/>
      <c r="I73" s="35"/>
      <c r="J73" s="44" t="s">
        <v>18</v>
      </c>
      <c r="K73" s="44"/>
      <c r="L73" s="44"/>
      <c r="M73" s="44"/>
      <c r="N73" s="44"/>
    </row>
    <row r="74" spans="4:14" x14ac:dyDescent="0.25">
      <c r="D74" s="47"/>
      <c r="E74" s="35"/>
      <c r="F74" s="35"/>
      <c r="G74" s="35"/>
      <c r="H74" s="35"/>
      <c r="I74" s="35"/>
      <c r="J74" s="44"/>
      <c r="K74" s="44"/>
      <c r="L74" s="44"/>
      <c r="M74" s="44"/>
      <c r="N74" s="44"/>
    </row>
    <row r="75" spans="4:14" x14ac:dyDescent="0.25">
      <c r="D75" s="47"/>
      <c r="E75" s="35"/>
      <c r="F75" s="35"/>
      <c r="G75" s="35"/>
      <c r="H75" s="35"/>
      <c r="I75" s="35"/>
      <c r="J75" s="44"/>
      <c r="K75" s="44"/>
      <c r="L75" s="44"/>
      <c r="M75" s="44"/>
      <c r="N75" s="44"/>
    </row>
    <row r="76" spans="4:14" x14ac:dyDescent="0.25">
      <c r="D76" s="47"/>
      <c r="E76" s="35"/>
      <c r="F76" s="35"/>
      <c r="G76" s="35"/>
      <c r="H76" s="35"/>
      <c r="I76" s="35"/>
      <c r="J76" s="44"/>
      <c r="K76" s="44"/>
      <c r="L76" s="44"/>
      <c r="M76" s="44"/>
      <c r="N76" s="44"/>
    </row>
    <row r="77" spans="4:14" x14ac:dyDescent="0.25">
      <c r="D77" s="47"/>
      <c r="E77" s="35"/>
      <c r="F77" s="35"/>
      <c r="G77" s="35"/>
      <c r="H77" s="35"/>
      <c r="I77" s="35"/>
      <c r="J77" s="44"/>
      <c r="K77" s="44"/>
      <c r="L77" s="44"/>
      <c r="M77" s="44"/>
      <c r="N77" s="44"/>
    </row>
    <row r="78" spans="4:14" x14ac:dyDescent="0.25">
      <c r="D78" s="47"/>
      <c r="E78" s="35"/>
      <c r="F78" s="35"/>
      <c r="G78" s="35"/>
      <c r="H78" s="35"/>
      <c r="I78" s="35"/>
      <c r="J78" s="44"/>
      <c r="K78" s="44"/>
      <c r="L78" s="44"/>
      <c r="M78" s="44"/>
      <c r="N78" s="44"/>
    </row>
    <row r="79" spans="4:14" x14ac:dyDescent="0.25">
      <c r="D79" s="47"/>
      <c r="E79" s="35"/>
      <c r="F79" s="35"/>
      <c r="G79" s="35"/>
      <c r="H79" s="35"/>
      <c r="I79" s="35"/>
      <c r="J79" s="46" t="s">
        <v>19</v>
      </c>
      <c r="K79" s="46"/>
      <c r="L79" s="46"/>
      <c r="M79" s="46"/>
      <c r="N79" s="46"/>
    </row>
    <row r="80" spans="4:14" x14ac:dyDescent="0.25">
      <c r="D80" s="47"/>
      <c r="E80" s="35"/>
      <c r="F80" s="35"/>
      <c r="G80" s="35"/>
      <c r="H80" s="35"/>
      <c r="I80" s="35"/>
      <c r="J80" s="46"/>
      <c r="K80" s="46"/>
      <c r="L80" s="46"/>
      <c r="M80" s="46"/>
      <c r="N80" s="46"/>
    </row>
    <row r="81" spans="4:14" x14ac:dyDescent="0.25">
      <c r="D81" s="47"/>
      <c r="E81" s="35"/>
      <c r="F81" s="35"/>
      <c r="G81" s="35"/>
      <c r="H81" s="35"/>
      <c r="I81" s="35"/>
      <c r="J81" s="46"/>
      <c r="K81" s="46"/>
      <c r="L81" s="46"/>
      <c r="M81" s="46"/>
      <c r="N81" s="46"/>
    </row>
    <row r="82" spans="4:14" x14ac:dyDescent="0.25">
      <c r="D82" s="47"/>
      <c r="E82" s="35"/>
      <c r="F82" s="35"/>
      <c r="G82" s="35"/>
      <c r="H82" s="35"/>
      <c r="I82" s="35"/>
      <c r="J82" s="48" t="s">
        <v>20</v>
      </c>
      <c r="K82" s="48"/>
      <c r="L82" s="48"/>
      <c r="M82" s="48"/>
      <c r="N82" s="48"/>
    </row>
    <row r="83" spans="4:14" x14ac:dyDescent="0.25">
      <c r="D83" s="47"/>
      <c r="E83" s="35"/>
      <c r="F83" s="35"/>
      <c r="G83" s="35"/>
      <c r="H83" s="35"/>
      <c r="I83" s="35"/>
      <c r="J83" s="48"/>
      <c r="K83" s="48"/>
      <c r="L83" s="48"/>
      <c r="M83" s="48"/>
      <c r="N83" s="48"/>
    </row>
    <row r="84" spans="4:14" x14ac:dyDescent="0.25">
      <c r="D84" s="47"/>
      <c r="E84" s="35"/>
      <c r="F84" s="35"/>
      <c r="G84" s="35"/>
      <c r="H84" s="35"/>
      <c r="I84" s="35"/>
      <c r="J84" s="48"/>
      <c r="K84" s="48"/>
      <c r="L84" s="48"/>
      <c r="M84" s="48"/>
      <c r="N84" s="48"/>
    </row>
    <row r="85" spans="4:14" x14ac:dyDescent="0.25">
      <c r="D85" s="47"/>
      <c r="E85" s="35"/>
      <c r="F85" s="35"/>
      <c r="G85" s="35"/>
      <c r="H85" s="35"/>
      <c r="I85" s="35"/>
      <c r="J85" s="48"/>
      <c r="K85" s="48"/>
      <c r="L85" s="48"/>
      <c r="M85" s="48"/>
      <c r="N85" s="48"/>
    </row>
    <row r="86" spans="4:14" x14ac:dyDescent="0.25">
      <c r="D86" s="47"/>
      <c r="E86" s="35"/>
      <c r="F86" s="35"/>
      <c r="G86" s="35"/>
      <c r="H86" s="35"/>
      <c r="I86" s="35"/>
      <c r="J86" s="48"/>
      <c r="K86" s="48"/>
      <c r="L86" s="48"/>
      <c r="M86" s="48"/>
      <c r="N86" s="48"/>
    </row>
    <row r="87" spans="4:14" x14ac:dyDescent="0.25">
      <c r="D87" s="47"/>
      <c r="E87" s="35"/>
      <c r="F87" s="35"/>
      <c r="G87" s="35"/>
      <c r="H87" s="35"/>
      <c r="I87" s="35"/>
      <c r="J87" s="48"/>
      <c r="K87" s="48"/>
      <c r="L87" s="48"/>
      <c r="M87" s="48"/>
      <c r="N87" s="48"/>
    </row>
  </sheetData>
  <mergeCells count="79">
    <mergeCell ref="Q4:T5"/>
    <mergeCell ref="U4:U5"/>
    <mergeCell ref="N6:P7"/>
    <mergeCell ref="Q6:T7"/>
    <mergeCell ref="U6:U7"/>
    <mergeCell ref="Q1:T3"/>
    <mergeCell ref="N1:P3"/>
    <mergeCell ref="U1:U3"/>
    <mergeCell ref="J82:N87"/>
    <mergeCell ref="E82:I84"/>
    <mergeCell ref="E85:I87"/>
    <mergeCell ref="A2:C2"/>
    <mergeCell ref="D2:J2"/>
    <mergeCell ref="N4:P5"/>
    <mergeCell ref="J61:N63"/>
    <mergeCell ref="J64:N66"/>
    <mergeCell ref="J67:N69"/>
    <mergeCell ref="J70:N72"/>
    <mergeCell ref="E79:I81"/>
    <mergeCell ref="E73:I75"/>
    <mergeCell ref="E76:I78"/>
    <mergeCell ref="J79:N81"/>
    <mergeCell ref="J73:N78"/>
    <mergeCell ref="E61:I63"/>
    <mergeCell ref="E64:I66"/>
    <mergeCell ref="E67:I69"/>
    <mergeCell ref="E70:I72"/>
    <mergeCell ref="D58:D87"/>
    <mergeCell ref="J58:N60"/>
    <mergeCell ref="L41:P43"/>
    <mergeCell ref="L47:P49"/>
    <mergeCell ref="L50:P53"/>
    <mergeCell ref="E58:I60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L5:L6"/>
    <mergeCell ref="K25:K27"/>
    <mergeCell ref="D22:J24"/>
    <mergeCell ref="K22:K24"/>
    <mergeCell ref="A14:C15"/>
    <mergeCell ref="D14:J15"/>
    <mergeCell ref="K14:K15"/>
    <mergeCell ref="A11:C13"/>
    <mergeCell ref="K9:K10"/>
    <mergeCell ref="D9:J10"/>
    <mergeCell ref="A9:C10"/>
    <mergeCell ref="A28:C31"/>
    <mergeCell ref="D28:J31"/>
    <mergeCell ref="K28:K31"/>
    <mergeCell ref="A16:C18"/>
    <mergeCell ref="D16:J18"/>
    <mergeCell ref="K16:K18"/>
    <mergeCell ref="D19:J21"/>
    <mergeCell ref="K19:K21"/>
    <mergeCell ref="A19:C21"/>
    <mergeCell ref="A25:C27"/>
    <mergeCell ref="A22:C24"/>
    <mergeCell ref="D25:J27"/>
    <mergeCell ref="K3:K4"/>
    <mergeCell ref="D3:J4"/>
    <mergeCell ref="A3:C4"/>
    <mergeCell ref="A7:C8"/>
    <mergeCell ref="K7:K8"/>
    <mergeCell ref="A5:C6"/>
    <mergeCell ref="D5:J6"/>
    <mergeCell ref="K5:K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2023-10-31T16:31:34Z</dcterms:modified>
</cp:coreProperties>
</file>